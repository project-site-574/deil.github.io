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05"/>
  </bookViews>
  <sheets>
    <sheet name="PE Summary" sheetId="9" r:id="rId1"/>
  </sheets>
  <calcPr calcId="191029"/>
  <customWorkbookViews>
    <customWorkbookView name="VGGT" guid="{658DB783-94FB-4252-A41B-B9C17853676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<sst xmlns="http://schemas.openxmlformats.org/spreadsheetml/2006/main" count="357" uniqueCount="19">
  <si>
    <t>Depth Estimator</t>
  </si>
  <si>
    <t>Camera Setting</t>
  </si>
  <si>
    <t>Resolution</t>
  </si>
  <si>
    <t>Mask Input</t>
  </si>
  <si>
    <t>SR</t>
  </si>
  <si>
    <t>SR std</t>
  </si>
  <si>
    <t>Depth Camera</t>
  </si>
  <si>
    <t>front</t>
  </si>
  <si>
    <t>None</t>
  </si>
  <si>
    <t>front / side</t>
  </si>
  <si>
    <t>front / side / wrist</t>
  </si>
  <si>
    <t>VGGT</t>
  </si>
  <si>
    <t>RGB</t>
  </si>
  <si>
    <t>masked RGB</t>
  </si>
  <si>
    <t>MapAnything</t>
  </si>
  <si>
    <t>MapAnything_no_ext</t>
  </si>
  <si>
    <t>MoGe</t>
  </si>
  <si>
    <t>Mast3r</t>
  </si>
  <si>
    <t>Pi3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</si>
</sst>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  <numFmt numFmtId="179" formatCode="0.000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/>
    <xf numFmtId="178" fontId="0" fillId="0" borderId="0" xfId="0" applyNumberFormat="1" applyFont="1" applyAlignment="1"/>
    <xf numFmtId="0" fontId="2" fillId="0" borderId="0" xfId="0" applyFont="1" applyAlignment="1">
      <alignment horizontal="center"/>
    </xf>
    <xf numFmtId="179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9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179" fontId="3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Real-World-style" pivot="0" count="4" xr9:uid="{4A6BE975-397D-40FA-D77F-756A816B8598}">
      <tableStyleElement type="wholeTable" dxfId="3"/>
      <tableStyleElement type="headerRow" dxfId="2"/>
      <tableStyleElement type="firstRowStripe" dxfId="1"/>
      <tableStyleElement type="secondRowStripe" dxfId="0"/>
    </tableStyle>
    <tableStyle name="Real-World Details-style" pivot="0" count="4" xr9:uid="{74F953EB-8AC7-047F-D77F-756A65B2946A}">
      <tableStyleElement type="wholeTable" dxfId="7"/>
      <tableStyleElement type="headerRow" dxfId="6"/>
      <tableStyleElement type="firstRowStripe" dxfId="5"/>
      <tableStyleElement type="secondRowStripe" dxfId="4"/>
    </tableStyle>
    <tableStyle name="Main Exp Fixed Demo (MEFD)-style" pivot="0" count="4" xr9:uid="{4BC31259-CBDE-2426-D77F-756AD8E4F4F4}">
      <tableStyleElement type="wholeTable" dxfId="11"/>
      <tableStyleElement type="headerRow" dxfId="10"/>
      <tableStyleElement type="firstRowStripe" dxfId="9"/>
      <tableStyleElement type="secondRowStripe" dxfId="8"/>
    </tableStyle>
    <tableStyle name="RLBench Main Exp (ME)-style" pivot="0" count="4" xr9:uid="{B43D67C7-0B68-01D6-D77F-756AF1932424}">
      <tableStyleElement type="wholeTable" dxfId="15"/>
      <tableStyleElement type="headerRow" dxfId="14"/>
      <tableStyleElement type="firstRowStripe" dxfId="13"/>
      <tableStyleElement type="secondRowStripe" dxfId="12"/>
    </tableStyle>
    <tableStyle name="RLBench Primary Exploration (PE-style" pivot="0" count="4" xr9:uid="{36631426-4AE5-669C-D77F-756A456BE38E}">
      <tableStyleElement type="wholeTable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24"/>
  <sheetViews>
    <sheetView tabSelected="1" topLeftCell="A25" workbookViewId="0">
      <selection activeCell="F51" sqref="F51"/>
    </sheetView>
  </sheetViews>
  <sheetFormatPr defaultColWidth="12.6283185840708" defaultRowHeight="15.75" customHeight="1"/>
  <cols>
    <col min="1" max="1" width="23.2477876106195" customWidth="1"/>
    <col min="2" max="2" width="19" customWidth="1"/>
    <col min="4" max="4" width="15.8761061946903" customWidth="1"/>
    <col min="6" max="6" width="12.6283185840708" style="2"/>
  </cols>
  <sheetData>
    <row r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customHeight="1" spans="1:7">
      <c r="A2" s="6" t="s">
        <v>6</v>
      </c>
      <c r="B2" s="6" t="s">
        <v>7</v>
      </c>
      <c r="C2" s="6">
        <v>128</v>
      </c>
      <c r="D2" s="6" t="s">
        <v>8</v>
      </c>
      <c r="E2" s="7">
        <f>IFERROR(__xludf.DUMMYFUNCTION("AVERAGE(FILTER(Table1[SR], (Table1[Depth Estimator]=A2)*(Table1[Camera Setting]=B2)*(Table1[Resolution]=C2)*(Table1[Input]=D2)))"),0.525)</f>
        <v>0.525</v>
      </c>
      <c r="F2" s="8">
        <f>IFERROR(__xludf.DUMMYFUNCTION("STDEV.S(FILTER(Table1[SR], (Table1[Depth Estimator]=A2)*(Table1[Camera Setting]=B2)*(Table1[Resolution]=C2)*(Table1[Input]=D2)))"),0.309569593683445)</f>
        <v>0.309569593683445</v>
      </c>
      <c r="G2" s="9"/>
    </row>
    <row r="3" customHeight="1" spans="1:7">
      <c r="A3" s="6" t="s">
        <v>6</v>
      </c>
      <c r="B3" s="6" t="s">
        <v>7</v>
      </c>
      <c r="C3" s="6">
        <v>256</v>
      </c>
      <c r="D3" s="6" t="s">
        <v>8</v>
      </c>
      <c r="E3" s="7">
        <f>IFERROR(__xludf.DUMMYFUNCTION("AVERAGE(FILTER(Table1[SR], (Table1[Depth Estimator]=A3)*(Table1[Camera Setting]=B3)*(Table1[Resolution]=C3)*(Table1[Input]=D3)))"),0.675)</f>
        <v>0.675</v>
      </c>
      <c r="F3" s="8">
        <f>IFERROR(__xludf.DUMMYFUNCTION("STDEV.S(FILTER(Table1[SR], (Table1[Depth Estimator]=A3)*(Table1[Camera Setting]=B3)*(Table1[Resolution]=C3)*(Table1[Input]=D3)))"),0.3947573094109)</f>
        <v>0.3947573094109</v>
      </c>
    </row>
    <row r="4" customHeight="1" spans="1:7">
      <c r="A4" s="6" t="s">
        <v>6</v>
      </c>
      <c r="B4" s="6" t="s">
        <v>7</v>
      </c>
      <c r="C4" s="6">
        <v>512</v>
      </c>
      <c r="D4" s="6" t="s">
        <v>8</v>
      </c>
      <c r="E4" s="7">
        <f>IFERROR(__xludf.DUMMYFUNCTION("AVERAGE(FILTER(Table1[SR], (Table1[Depth Estimator]=A4)*(Table1[Camera Setting]=B4)*(Table1[Resolution]=C4)*(Table1[Input]=D4)))"),0.875)</f>
        <v>0.875</v>
      </c>
      <c r="F4" s="8">
        <f>IFERROR(__xludf.DUMMYFUNCTION("STDEV.S(FILTER(Table1[SR], (Table1[Depth Estimator]=A4)*(Table1[Camera Setting]=B4)*(Table1[Resolution]=C4)*(Table1[Input]=D4)))"),0.0499999999999999)</f>
        <v>0.0499999999999999</v>
      </c>
    </row>
    <row r="5" customHeight="1" spans="1:7">
      <c r="A5" s="6" t="s">
        <v>6</v>
      </c>
      <c r="B5" s="6" t="s">
        <v>9</v>
      </c>
      <c r="C5" s="6">
        <v>128</v>
      </c>
      <c r="D5" s="6" t="s">
        <v>8</v>
      </c>
      <c r="E5" s="7">
        <f>IFERROR(__xludf.DUMMYFUNCTION("AVERAGE(FILTER(Table1[SR], (Table1[Depth Estimator]=A5)*(Table1[Camera Setting]=B5)*(Table1[Resolution]=C5)*(Table1[Input]=D5)))"),0.825)</f>
        <v>0.825</v>
      </c>
      <c r="F5" s="8">
        <f>IFERROR(__xludf.DUMMYFUNCTION("STDEV.S(FILTER(Table1[SR], (Table1[Depth Estimator]=A5)*(Table1[Camera Setting]=B5)*(Table1[Resolution]=C5)*(Table1[Input]=D5)))"),0.35)</f>
        <v>0.35</v>
      </c>
    </row>
    <row r="6" customHeight="1" spans="1:7">
      <c r="A6" s="6" t="s">
        <v>6</v>
      </c>
      <c r="B6" s="6" t="s">
        <v>9</v>
      </c>
      <c r="C6" s="6">
        <v>256</v>
      </c>
      <c r="D6" s="6" t="s">
        <v>8</v>
      </c>
      <c r="E6" s="7">
        <f>IFERROR(__xludf.DUMMYFUNCTION("AVERAGE(FILTER(Table1[SR], (Table1[Depth Estimator]=A6)*(Table1[Camera Setting]=B6)*(Table1[Resolution]=C6)*(Table1[Input]=D6)))"),0.775)</f>
        <v>0.775</v>
      </c>
      <c r="F6" s="8">
        <f>IFERROR(__xludf.DUMMYFUNCTION("STDEV.S(FILTER(Table1[SR], (Table1[Depth Estimator]=A6)*(Table1[Camera Setting]=B6)*(Table1[Resolution]=C6)*(Table1[Input]=D6)))"),0.262995563967658)</f>
        <v>0.262995563967658</v>
      </c>
    </row>
    <row r="7" customHeight="1" spans="1:7">
      <c r="A7" s="6" t="s">
        <v>6</v>
      </c>
      <c r="B7" s="6" t="s">
        <v>9</v>
      </c>
      <c r="C7" s="6">
        <v>512</v>
      </c>
      <c r="D7" s="6" t="s">
        <v>8</v>
      </c>
      <c r="E7" s="7">
        <f>IFERROR(__xludf.DUMMYFUNCTION("AVERAGE(FILTER(Table1[SR], (Table1[Depth Estimator]=A7)*(Table1[Camera Setting]=B7)*(Table1[Resolution]=C7)*(Table1[Input]=D7)))"),0.924999999999999)</f>
        <v>0.924999999999999</v>
      </c>
      <c r="F7" s="8">
        <f>IFERROR(__xludf.DUMMYFUNCTION("STDEV.S(FILTER(Table1[SR], (Table1[Depth Estimator]=A7)*(Table1[Camera Setting]=B7)*(Table1[Resolution]=C7)*(Table1[Input]=D7)))"),0.0957427107756337)</f>
        <v>0.0957427107756337</v>
      </c>
    </row>
    <row r="8" customHeight="1" spans="1:7">
      <c r="A8" s="6" t="s">
        <v>6</v>
      </c>
      <c r="B8" s="6" t="s">
        <v>10</v>
      </c>
      <c r="C8" s="6">
        <v>128</v>
      </c>
      <c r="D8" s="6" t="s">
        <v>8</v>
      </c>
      <c r="E8" s="7">
        <f>IFERROR(__xludf.DUMMYFUNCTION("AVERAGE(FILTER(Table1[SR], (Table1[Depth Estimator]=A8)*(Table1[Camera Setting]=B8)*(Table1[Resolution]=C8)*(Table1[Input]=D8)))"),0.85)</f>
        <v>0.85</v>
      </c>
      <c r="F8" s="8">
        <f>IFERROR(__xludf.DUMMYFUNCTION("STDEV.S(FILTER(Table1[SR], (Table1[Depth Estimator]=A8)*(Table1[Camera Setting]=B8)*(Table1[Resolution]=C8)*(Table1[Input]=D8)))"),0.191485421551267)</f>
        <v>0.191485421551267</v>
      </c>
    </row>
    <row r="9" customHeight="1" spans="1:7">
      <c r="A9" s="6" t="s">
        <v>6</v>
      </c>
      <c r="B9" s="6" t="s">
        <v>10</v>
      </c>
      <c r="C9" s="6">
        <v>256</v>
      </c>
      <c r="D9" s="6" t="s">
        <v>8</v>
      </c>
      <c r="E9" s="7">
        <f>IFERROR(__xludf.DUMMYFUNCTION("AVERAGE(FILTER(Table1[SR], (Table1[Depth Estimator]=A9)*(Table1[Camera Setting]=B9)*(Table1[Resolution]=C9)*(Table1[Input]=D9)))"),0.85)</f>
        <v>0.85</v>
      </c>
      <c r="F9" s="8">
        <f>IFERROR(__xludf.DUMMYFUNCTION("STDEV.S(FILTER(Table1[SR], (Table1[Depth Estimator]=A9)*(Table1[Camera Setting]=B9)*(Table1[Resolution]=C9)*(Table1[Input]=D9)))"),0.173205080756887)</f>
        <v>0.173205080756887</v>
      </c>
    </row>
    <row r="10" customHeight="1" spans="1:7">
      <c r="A10" s="3" t="s">
        <v>6</v>
      </c>
      <c r="B10" s="3" t="s">
        <v>10</v>
      </c>
      <c r="C10" s="3">
        <v>512</v>
      </c>
      <c r="D10" s="3" t="s">
        <v>8</v>
      </c>
      <c r="E10" s="4">
        <f>IFERROR(__xludf.DUMMYFUNCTION("AVERAGE(FILTER(Table1[SR], (Table1[Depth Estimator]=A10)*(Table1[Camera Setting]=B10)*(Table1[Resolution]=C10)*(Table1[Input]=D10)))"),0.95)</f>
        <v>0.95</v>
      </c>
      <c r="F10" s="5">
        <f>IFERROR(__xludf.DUMMYFUNCTION("STDEV.S(FILTER(Table1[SR], (Table1[Depth Estimator]=A10)*(Table1[Camera Setting]=B10)*(Table1[Resolution]=C10)*(Table1[Input]=D10)))"),0.0577350269189625)</f>
        <v>0.0577350269189625</v>
      </c>
    </row>
    <row r="12" customHeight="1" spans="1:7">
      <c r="A12" s="6" t="s">
        <v>11</v>
      </c>
      <c r="B12" s="6" t="s">
        <v>7</v>
      </c>
      <c r="C12" s="6">
        <v>128</v>
      </c>
      <c r="D12" s="6" t="s">
        <v>12</v>
      </c>
      <c r="E12" s="7">
        <f>IFERROR(__xludf.DUMMYFUNCTION("AVERAGE(FILTER(Table1[SR], (Table1[Depth Estimator]=A12)*(Table1[Camera Setting]=B12)*(Table1[Resolution]=C12)*(Table1[Input]=D12)))"),0)</f>
        <v>0</v>
      </c>
      <c r="F12" s="8">
        <f>IFERROR(__xludf.DUMMYFUNCTION("STDEV.S(FILTER(Table1[SR], (Table1[Depth Estimator]=A12)*(Table1[Camera Setting]=B12)*(Table1[Resolution]=C12)*(Table1[Input]=D12)))"),0)</f>
        <v>0</v>
      </c>
      <c r="G12" s="9"/>
    </row>
    <row r="13" customHeight="1" spans="1:7">
      <c r="A13" s="6" t="s">
        <v>11</v>
      </c>
      <c r="B13" s="6" t="s">
        <v>7</v>
      </c>
      <c r="C13" s="6">
        <v>128</v>
      </c>
      <c r="D13" s="6" t="s">
        <v>13</v>
      </c>
      <c r="E13" s="7">
        <f>IFERROR(__xludf.DUMMYFUNCTION("AVERAGE(FILTER(Table1[SR], (Table1[Depth Estimator]=A13)*(Table1[Camera Setting]=B13)*(Table1[Resolution]=C13)*(Table1[Input]=D13)))"),0)</f>
        <v>0</v>
      </c>
      <c r="F13" s="8">
        <f>IFERROR(__xludf.DUMMYFUNCTION("STDEV.S(FILTER(Table1[SR], (Table1[Depth Estimator]=A13)*(Table1[Camera Setting]=B13)*(Table1[Resolution]=C13)*(Table1[Input]=D13)))"),0)</f>
        <v>0</v>
      </c>
    </row>
    <row r="14" customHeight="1" spans="1:7">
      <c r="A14" s="6" t="s">
        <v>11</v>
      </c>
      <c r="B14" s="6" t="s">
        <v>7</v>
      </c>
      <c r="C14" s="6">
        <v>256</v>
      </c>
      <c r="D14" s="6" t="s">
        <v>12</v>
      </c>
      <c r="E14" s="7">
        <f>IFERROR(__xludf.DUMMYFUNCTION("AVERAGE(FILTER(Table1[SR], (Table1[Depth Estimator]=A14)*(Table1[Camera Setting]=B14)*(Table1[Resolution]=C14)*(Table1[Input]=D14)))"),0)</f>
        <v>0</v>
      </c>
      <c r="F14" s="8">
        <f>IFERROR(__xludf.DUMMYFUNCTION("STDEV.S(FILTER(Table1[SR], (Table1[Depth Estimator]=A14)*(Table1[Camera Setting]=B14)*(Table1[Resolution]=C14)*(Table1[Input]=D14)))"),0)</f>
        <v>0</v>
      </c>
    </row>
    <row r="15" customHeight="1" spans="1:7">
      <c r="A15" s="6" t="s">
        <v>11</v>
      </c>
      <c r="B15" s="6" t="s">
        <v>7</v>
      </c>
      <c r="C15" s="6">
        <v>256</v>
      </c>
      <c r="D15" s="6" t="s">
        <v>13</v>
      </c>
      <c r="E15" s="7">
        <f>IFERROR(__xludf.DUMMYFUNCTION("AVERAGE(FILTER(Table1[SR], (Table1[Depth Estimator]=A15)*(Table1[Camera Setting]=B15)*(Table1[Resolution]=C15)*(Table1[Input]=D15)))"),0)</f>
        <v>0</v>
      </c>
      <c r="F15" s="8">
        <f>IFERROR(__xludf.DUMMYFUNCTION("STDEV.S(FILTER(Table1[SR], (Table1[Depth Estimator]=A15)*(Table1[Camera Setting]=B15)*(Table1[Resolution]=C15)*(Table1[Input]=D15)))"),0)</f>
        <v>0</v>
      </c>
    </row>
    <row r="16" customHeight="1" spans="1:7">
      <c r="A16" s="6" t="s">
        <v>11</v>
      </c>
      <c r="B16" s="6" t="s">
        <v>7</v>
      </c>
      <c r="C16" s="6">
        <v>512</v>
      </c>
      <c r="D16" s="6" t="s">
        <v>12</v>
      </c>
      <c r="E16" s="7">
        <f>IFERROR(__xludf.DUMMYFUNCTION("AVERAGE(FILTER(Table1[SR], (Table1[Depth Estimator]=A16)*(Table1[Camera Setting]=B16)*(Table1[Resolution]=C16)*(Table1[Input]=D16)))"),0)</f>
        <v>0</v>
      </c>
      <c r="F16" s="8">
        <f>IFERROR(__xludf.DUMMYFUNCTION("STDEV.S(FILTER(Table1[SR], (Table1[Depth Estimator]=A16)*(Table1[Camera Setting]=B16)*(Table1[Resolution]=C16)*(Table1[Input]=D16)))"),0)</f>
        <v>0</v>
      </c>
    </row>
    <row r="17" customHeight="1" spans="1:7">
      <c r="A17" s="6" t="s">
        <v>11</v>
      </c>
      <c r="B17" s="6" t="s">
        <v>7</v>
      </c>
      <c r="C17" s="6">
        <v>512</v>
      </c>
      <c r="D17" s="6" t="s">
        <v>13</v>
      </c>
      <c r="E17" s="7">
        <f>IFERROR(__xludf.DUMMYFUNCTION("AVERAGE(FILTER(Table1[SR], (Table1[Depth Estimator]=A17)*(Table1[Camera Setting]=B17)*(Table1[Resolution]=C17)*(Table1[Input]=D17)))"),0.025)</f>
        <v>0.025</v>
      </c>
      <c r="F17" s="8">
        <f>IFERROR(__xludf.DUMMYFUNCTION("STDEV.S(FILTER(Table1[SR], (Table1[Depth Estimator]=A17)*(Table1[Camera Setting]=B17)*(Table1[Resolution]=C17)*(Table1[Input]=D17)))"),0.05)</f>
        <v>0.05</v>
      </c>
    </row>
    <row r="18" customHeight="1" spans="1:7">
      <c r="A18" s="6" t="s">
        <v>11</v>
      </c>
      <c r="B18" s="6" t="s">
        <v>9</v>
      </c>
      <c r="C18" s="6">
        <v>128</v>
      </c>
      <c r="D18" s="6" t="s">
        <v>12</v>
      </c>
      <c r="E18" s="7">
        <f>IFERROR(__xludf.DUMMYFUNCTION("AVERAGE(FILTER(Table1[SR], (Table1[Depth Estimator]=A18)*(Table1[Camera Setting]=B18)*(Table1[Resolution]=C18)*(Table1[Input]=D18)))"),0.475)</f>
        <v>0.475</v>
      </c>
      <c r="F18" s="8">
        <f>IFERROR(__xludf.DUMMYFUNCTION("STDEV.S(FILTER(Table1[SR], (Table1[Depth Estimator]=A18)*(Table1[Camera Setting]=B18)*(Table1[Resolution]=C18)*(Table1[Input]=D18)))"),0.320156211871642)</f>
        <v>0.320156211871642</v>
      </c>
    </row>
    <row r="19" customHeight="1" spans="1:7">
      <c r="A19" s="6" t="s">
        <v>11</v>
      </c>
      <c r="B19" s="6" t="s">
        <v>9</v>
      </c>
      <c r="C19" s="6">
        <v>128</v>
      </c>
      <c r="D19" s="6" t="s">
        <v>13</v>
      </c>
      <c r="E19" s="7">
        <f>IFERROR(__xludf.DUMMYFUNCTION("AVERAGE(FILTER(Table1[SR], (Table1[Depth Estimator]=A19)*(Table1[Camera Setting]=B19)*(Table1[Resolution]=C19)*(Table1[Input]=D19)))"),0.3)</f>
        <v>0.3</v>
      </c>
      <c r="F19" s="8">
        <f>IFERROR(__xludf.DUMMYFUNCTION("STDEV.S(FILTER(Table1[SR], (Table1[Depth Estimator]=A19)*(Table1[Camera Setting]=B19)*(Table1[Resolution]=C19)*(Table1[Input]=D19)))"),0.163299316185545)</f>
        <v>0.163299316185545</v>
      </c>
    </row>
    <row r="20" customHeight="1" spans="1:7">
      <c r="A20" s="6" t="s">
        <v>11</v>
      </c>
      <c r="B20" s="6" t="s">
        <v>9</v>
      </c>
      <c r="C20" s="6">
        <v>256</v>
      </c>
      <c r="D20" s="6" t="s">
        <v>12</v>
      </c>
      <c r="E20" s="7">
        <f>IFERROR(__xludf.DUMMYFUNCTION("AVERAGE(FILTER(Table1[SR], (Table1[Depth Estimator]=A20)*(Table1[Camera Setting]=B20)*(Table1[Resolution]=C20)*(Table1[Input]=D20)))"),0.725)</f>
        <v>0.725</v>
      </c>
      <c r="F20" s="8">
        <f>IFERROR(__xludf.DUMMYFUNCTION("STDEV.S(FILTER(Table1[SR], (Table1[Depth Estimator]=A20)*(Table1[Camera Setting]=B20)*(Table1[Resolution]=C20)*(Table1[Input]=D20)))"),0.170782512765993)</f>
        <v>0.170782512765993</v>
      </c>
    </row>
    <row r="21" customHeight="1" spans="1:7">
      <c r="A21" s="6" t="s">
        <v>11</v>
      </c>
      <c r="B21" s="6" t="s">
        <v>9</v>
      </c>
      <c r="C21" s="6">
        <v>256</v>
      </c>
      <c r="D21" s="6" t="s">
        <v>13</v>
      </c>
      <c r="E21" s="7">
        <f>IFERROR(__xludf.DUMMYFUNCTION("AVERAGE(FILTER(Table1[SR], (Table1[Depth Estimator]=A21)*(Table1[Camera Setting]=B21)*(Table1[Resolution]=C21)*(Table1[Input]=D21)))"),0.774999999999999)</f>
        <v>0.774999999999999</v>
      </c>
      <c r="F21" s="8">
        <f>IFERROR(__xludf.DUMMYFUNCTION("STDEV.S(FILTER(Table1[SR], (Table1[Depth Estimator]=A21)*(Table1[Camera Setting]=B21)*(Table1[Resolution]=C21)*(Table1[Input]=D21)))"),0.320156211871642)</f>
        <v>0.320156211871642</v>
      </c>
    </row>
    <row r="22" customHeight="1" spans="1:7">
      <c r="A22" s="6" t="s">
        <v>11</v>
      </c>
      <c r="B22" s="6" t="s">
        <v>9</v>
      </c>
      <c r="C22" s="6">
        <v>512</v>
      </c>
      <c r="D22" s="6" t="s">
        <v>12</v>
      </c>
      <c r="E22" s="7">
        <f>IFERROR(__xludf.DUMMYFUNCTION("AVERAGE(FILTER(Table1[SR], (Table1[Depth Estimator]=A22)*(Table1[Camera Setting]=B22)*(Table1[Resolution]=C22)*(Table1[Input]=D22)))"),0.7)</f>
        <v>0.7</v>
      </c>
      <c r="F22" s="8">
        <f>IFERROR(__xludf.DUMMYFUNCTION("STDEV.S(FILTER(Table1[SR], (Table1[Depth Estimator]=A22)*(Table1[Camera Setting]=B22)*(Table1[Resolution]=C22)*(Table1[Input]=D22)))"),0.182574185835055)</f>
        <v>0.182574185835055</v>
      </c>
    </row>
    <row r="23" customHeight="1" spans="1:7">
      <c r="A23" s="3" t="s">
        <v>11</v>
      </c>
      <c r="B23" s="3" t="s">
        <v>9</v>
      </c>
      <c r="C23" s="3">
        <v>512</v>
      </c>
      <c r="D23" s="3" t="s">
        <v>13</v>
      </c>
      <c r="E23" s="4">
        <f>IFERROR(__xludf.DUMMYFUNCTION("AVERAGE(FILTER(Table1[SR], (Table1[Depth Estimator]=A23)*(Table1[Camera Setting]=B23)*(Table1[Resolution]=C23)*(Table1[Input]=D23)))"),0.899999999999999)</f>
        <v>0.899999999999999</v>
      </c>
      <c r="F23" s="5">
        <f>IFERROR(__xludf.DUMMYFUNCTION("STDEV.S(FILTER(Table1[SR], (Table1[Depth Estimator]=A23)*(Table1[Camera Setting]=B23)*(Table1[Resolution]=C23)*(Table1[Input]=D23)))"),0.141421356237309)</f>
        <v>0.141421356237309</v>
      </c>
    </row>
    <row r="24" customHeight="1" spans="1:7">
      <c r="A24" s="6" t="s">
        <v>11</v>
      </c>
      <c r="B24" s="6" t="s">
        <v>10</v>
      </c>
      <c r="C24" s="6">
        <v>128</v>
      </c>
      <c r="D24" s="6" t="s">
        <v>12</v>
      </c>
      <c r="E24" s="7">
        <f>IFERROR(__xludf.DUMMYFUNCTION("AVERAGE(FILTER(Table1[SR], (Table1[Depth Estimator]=A24)*(Table1[Camera Setting]=B24)*(Table1[Resolution]=C24)*(Table1[Input]=D24)))"),0.4)</f>
        <v>0.4</v>
      </c>
      <c r="F24" s="8">
        <f>IFERROR(__xludf.DUMMYFUNCTION("STDEV.S(FILTER(Table1[SR], (Table1[Depth Estimator]=A24)*(Table1[Camera Setting]=B24)*(Table1[Resolution]=C24)*(Table1[Input]=D24)))"),0.294392028877594)</f>
        <v>0.294392028877594</v>
      </c>
    </row>
    <row r="25" customHeight="1" spans="1:7">
      <c r="A25" s="6" t="s">
        <v>11</v>
      </c>
      <c r="B25" s="6" t="s">
        <v>10</v>
      </c>
      <c r="C25" s="6">
        <v>128</v>
      </c>
      <c r="D25" s="6" t="s">
        <v>13</v>
      </c>
      <c r="E25" s="7">
        <f>IFERROR(__xludf.DUMMYFUNCTION("AVERAGE(FILTER(Table1[SR], (Table1[Depth Estimator]=A25)*(Table1[Camera Setting]=B25)*(Table1[Resolution]=C25)*(Table1[Input]=D25)))"),0.325)</f>
        <v>0.325</v>
      </c>
      <c r="F25" s="8">
        <f>IFERROR(__xludf.DUMMYFUNCTION("STDEV.S(FILTER(Table1[SR], (Table1[Depth Estimator]=A25)*(Table1[Camera Setting]=B25)*(Table1[Resolution]=C25)*(Table1[Input]=D25)))"),0.125830573921179)</f>
        <v>0.125830573921179</v>
      </c>
    </row>
    <row r="26" customHeight="1" spans="1:7">
      <c r="A26" s="6" t="s">
        <v>11</v>
      </c>
      <c r="B26" s="6" t="s">
        <v>10</v>
      </c>
      <c r="C26" s="6">
        <v>256</v>
      </c>
      <c r="D26" s="6" t="s">
        <v>12</v>
      </c>
      <c r="E26" s="7">
        <f>IFERROR(__xludf.DUMMYFUNCTION("AVERAGE(FILTER(Table1[SR], (Table1[Depth Estimator]=A26)*(Table1[Camera Setting]=B26)*(Table1[Resolution]=C26)*(Table1[Input]=D26)))"),0.524999999999999)</f>
        <v>0.524999999999999</v>
      </c>
      <c r="F26" s="8">
        <f>IFERROR(__xludf.DUMMYFUNCTION("STDEV.S(FILTER(Table1[SR], (Table1[Depth Estimator]=A26)*(Table1[Camera Setting]=B26)*(Table1[Resolution]=C26)*(Table1[Input]=D26)))"),0.35939764421413)</f>
        <v>0.35939764421413</v>
      </c>
    </row>
    <row r="27" customHeight="1" spans="1:7">
      <c r="A27" s="6" t="s">
        <v>11</v>
      </c>
      <c r="B27" s="6" t="s">
        <v>10</v>
      </c>
      <c r="C27" s="6">
        <v>256</v>
      </c>
      <c r="D27" s="6" t="s">
        <v>13</v>
      </c>
      <c r="E27" s="7">
        <f>IFERROR(__xludf.DUMMYFUNCTION("AVERAGE(FILTER(Table1[SR], (Table1[Depth Estimator]=A27)*(Table1[Camera Setting]=B27)*(Table1[Resolution]=C27)*(Table1[Input]=D27)))"),0.6)</f>
        <v>0.6</v>
      </c>
      <c r="F27" s="8">
        <f>IFERROR(__xludf.DUMMYFUNCTION("STDEV.S(FILTER(Table1[SR], (Table1[Depth Estimator]=A27)*(Table1[Camera Setting]=B27)*(Table1[Resolution]=C27)*(Table1[Input]=D27)))"),0.408248290463863)</f>
        <v>0.408248290463863</v>
      </c>
    </row>
    <row r="28" customHeight="1" spans="1:7">
      <c r="A28" s="6" t="s">
        <v>11</v>
      </c>
      <c r="B28" s="6" t="s">
        <v>10</v>
      </c>
      <c r="C28" s="6">
        <v>512</v>
      </c>
      <c r="D28" s="6" t="s">
        <v>12</v>
      </c>
      <c r="E28" s="7">
        <f>IFERROR(__xludf.DUMMYFUNCTION("AVERAGE(FILTER(Table1[SR], (Table1[Depth Estimator]=A28)*(Table1[Camera Setting]=B28)*(Table1[Resolution]=C28)*(Table1[Input]=D28)))"),0.7)</f>
        <v>0.7</v>
      </c>
      <c r="F28" s="8">
        <f>IFERROR(__xludf.DUMMYFUNCTION("STDEV.S(FILTER(Table1[SR], (Table1[Depth Estimator]=A28)*(Table1[Camera Setting]=B28)*(Table1[Resolution]=C28)*(Table1[Input]=D28)))"),0.0816496580927726)</f>
        <v>0.0816496580927726</v>
      </c>
    </row>
    <row r="29" customHeight="1" spans="1:7">
      <c r="A29" s="6" t="s">
        <v>11</v>
      </c>
      <c r="B29" s="6" t="s">
        <v>10</v>
      </c>
      <c r="C29" s="6">
        <v>512</v>
      </c>
      <c r="D29" s="6" t="s">
        <v>13</v>
      </c>
      <c r="E29" s="7">
        <f>IFERROR(__xludf.DUMMYFUNCTION("AVERAGE(FILTER(Table1[SR], (Table1[Depth Estimator]=A29)*(Table1[Camera Setting]=B29)*(Table1[Resolution]=C29)*(Table1[Input]=D29)))"),0.549999999999999)</f>
        <v>0.549999999999999</v>
      </c>
      <c r="F29" s="8">
        <f>IFERROR(__xludf.DUMMYFUNCTION("STDEV.S(FILTER(Table1[SR], (Table1[Depth Estimator]=A29)*(Table1[Camera Setting]=B29)*(Table1[Resolution]=C29)*(Table1[Input]=D29)))"),0.12909944487358)</f>
        <v>0.12909944487358</v>
      </c>
    </row>
    <row r="31" customHeight="1" spans="1:7">
      <c r="A31" s="6" t="s">
        <v>14</v>
      </c>
      <c r="B31" s="6" t="s">
        <v>7</v>
      </c>
      <c r="C31" s="6">
        <v>128</v>
      </c>
      <c r="D31" s="6" t="s">
        <v>12</v>
      </c>
      <c r="E31" s="7">
        <v>0</v>
      </c>
      <c r="F31" s="8">
        <v>0</v>
      </c>
      <c r="G31" s="9"/>
    </row>
    <row r="32" customHeight="1" spans="1:7">
      <c r="A32" s="6" t="s">
        <v>14</v>
      </c>
      <c r="B32" s="6" t="s">
        <v>7</v>
      </c>
      <c r="C32" s="6">
        <v>128</v>
      </c>
      <c r="D32" s="6" t="s">
        <v>13</v>
      </c>
      <c r="E32" s="7">
        <f>IFERROR(__xludf.DUMMYFUNCTION("AVERAGE(FILTER(Table1[SR], (Table1[Depth Estimator]=A32)*(Table1[Camera Setting]=B32)*(Table1[Resolution]=C32)*(Table1[Input]=D32)))"),0)</f>
        <v>0</v>
      </c>
      <c r="F32" s="8">
        <f>IFERROR(__xludf.DUMMYFUNCTION("STDEV.S(FILTER(Table1[SR], (Table1[Depth Estimator]=A32)*(Table1[Camera Setting]=B32)*(Table1[Resolution]=C32)*(Table1[Input]=D32)))"),0)</f>
        <v>0</v>
      </c>
    </row>
    <row r="33" customHeight="1" spans="1:6">
      <c r="A33" s="6" t="s">
        <v>14</v>
      </c>
      <c r="B33" s="6" t="s">
        <v>7</v>
      </c>
      <c r="C33" s="6">
        <v>256</v>
      </c>
      <c r="D33" s="6" t="s">
        <v>12</v>
      </c>
      <c r="E33" s="7">
        <v>0.025</v>
      </c>
      <c r="F33" s="8">
        <v>0.05</v>
      </c>
    </row>
    <row r="34" customHeight="1" spans="1:6">
      <c r="A34" s="6" t="s">
        <v>14</v>
      </c>
      <c r="B34" s="6" t="s">
        <v>7</v>
      </c>
      <c r="C34" s="6">
        <v>256</v>
      </c>
      <c r="D34" s="6" t="s">
        <v>13</v>
      </c>
      <c r="E34" s="7">
        <f>IFERROR(__xludf.DUMMYFUNCTION("AVERAGE(FILTER(Table1[SR], (Table1[Depth Estimator]=A34)*(Table1[Camera Setting]=B34)*(Table1[Resolution]=C34)*(Table1[Input]=D34)))"),0)</f>
        <v>0</v>
      </c>
      <c r="F34" s="8">
        <f>IFERROR(__xludf.DUMMYFUNCTION("STDEV.S(FILTER(Table1[SR], (Table1[Depth Estimator]=A34)*(Table1[Camera Setting]=B34)*(Table1[Resolution]=C34)*(Table1[Input]=D34)))"),0)</f>
        <v>0</v>
      </c>
    </row>
    <row r="35" customHeight="1" spans="1:6">
      <c r="A35" s="6" t="s">
        <v>14</v>
      </c>
      <c r="B35" s="6" t="s">
        <v>7</v>
      </c>
      <c r="C35" s="6">
        <v>512</v>
      </c>
      <c r="D35" s="6" t="s">
        <v>12</v>
      </c>
      <c r="E35" s="7">
        <f>IFERROR(__xludf.DUMMYFUNCTION("AVERAGE(FILTER(Table1[SR], (Table1[Depth Estimator]=A35)*(Table1[Camera Setting]=B35)*(Table1[Resolution]=C35)*(Table1[Input]=D35)))"),0)</f>
        <v>0</v>
      </c>
      <c r="F35" s="8">
        <f>IFERROR(__xludf.DUMMYFUNCTION("STDEV.S(FILTER(Table1[SR], (Table1[Depth Estimator]=A35)*(Table1[Camera Setting]=B35)*(Table1[Resolution]=C35)*(Table1[Input]=D35)))"),0)</f>
        <v>0</v>
      </c>
    </row>
    <row r="36" customHeight="1" spans="1:6">
      <c r="A36" s="6" t="s">
        <v>14</v>
      </c>
      <c r="B36" s="6" t="s">
        <v>7</v>
      </c>
      <c r="C36" s="6">
        <v>512</v>
      </c>
      <c r="D36" s="6" t="s">
        <v>13</v>
      </c>
      <c r="E36" s="7">
        <f>IFERROR(__xludf.DUMMYFUNCTION("AVERAGE(FILTER(Table1[SR], (Table1[Depth Estimator]=A36)*(Table1[Camera Setting]=B36)*(Table1[Resolution]=C36)*(Table1[Input]=D36)))"),0)</f>
        <v>0</v>
      </c>
      <c r="F36" s="8">
        <f>IFERROR(__xludf.DUMMYFUNCTION("STDEV.S(FILTER(Table1[SR], (Table1[Depth Estimator]=A36)*(Table1[Camera Setting]=B36)*(Table1[Resolution]=C36)*(Table1[Input]=D36)))"),0)</f>
        <v>0</v>
      </c>
    </row>
    <row r="37" customHeight="1" spans="1:6">
      <c r="A37" s="6" t="s">
        <v>14</v>
      </c>
      <c r="B37" s="6" t="s">
        <v>9</v>
      </c>
      <c r="C37" s="6">
        <v>128</v>
      </c>
      <c r="D37" s="6" t="s">
        <v>12</v>
      </c>
      <c r="E37" s="7">
        <v>0.36</v>
      </c>
      <c r="F37" s="8">
        <v>0.2366431913</v>
      </c>
    </row>
    <row r="38" customHeight="1" spans="1:6">
      <c r="A38" s="6" t="s">
        <v>14</v>
      </c>
      <c r="B38" s="6" t="s">
        <v>9</v>
      </c>
      <c r="C38" s="6">
        <v>128</v>
      </c>
      <c r="D38" s="6" t="s">
        <v>13</v>
      </c>
      <c r="E38" s="7">
        <v>0.09</v>
      </c>
      <c r="F38" s="8">
        <v>0.1100504935</v>
      </c>
    </row>
    <row r="39" s="1" customFormat="1" customHeight="1" spans="1:6">
      <c r="A39" s="3" t="s">
        <v>14</v>
      </c>
      <c r="B39" s="3" t="s">
        <v>9</v>
      </c>
      <c r="C39" s="3">
        <v>256</v>
      </c>
      <c r="D39" s="3" t="s">
        <v>12</v>
      </c>
      <c r="E39" s="4">
        <v>0.49</v>
      </c>
      <c r="F39" s="5">
        <v>0.2378141198</v>
      </c>
    </row>
    <row r="40" customHeight="1" spans="1:6">
      <c r="A40" s="6" t="s">
        <v>14</v>
      </c>
      <c r="B40" s="6" t="s">
        <v>9</v>
      </c>
      <c r="C40" s="6">
        <v>256</v>
      </c>
      <c r="D40" s="6" t="s">
        <v>13</v>
      </c>
      <c r="E40" s="7">
        <v>0.09</v>
      </c>
      <c r="F40" s="8">
        <v>0.08755950358</v>
      </c>
    </row>
    <row r="41" customHeight="1" spans="1:6">
      <c r="A41" s="6" t="s">
        <v>14</v>
      </c>
      <c r="B41" s="6" t="s">
        <v>9</v>
      </c>
      <c r="C41" s="6">
        <v>512</v>
      </c>
      <c r="D41" s="6" t="s">
        <v>12</v>
      </c>
      <c r="E41" s="7">
        <v>0.42</v>
      </c>
      <c r="F41" s="8">
        <v>0.2658320272</v>
      </c>
    </row>
    <row r="42" customHeight="1" spans="1:6">
      <c r="A42" s="6" t="s">
        <v>14</v>
      </c>
      <c r="B42" s="6" t="s">
        <v>9</v>
      </c>
      <c r="C42" s="6">
        <v>512</v>
      </c>
      <c r="D42" s="6" t="s">
        <v>13</v>
      </c>
      <c r="E42" s="7">
        <v>0.06</v>
      </c>
      <c r="F42" s="8">
        <v>0.10749677</v>
      </c>
    </row>
    <row r="43" customHeight="1" spans="1:6">
      <c r="A43" s="6" t="s">
        <v>14</v>
      </c>
      <c r="B43" s="6" t="s">
        <v>10</v>
      </c>
      <c r="C43" s="6">
        <v>128</v>
      </c>
      <c r="D43" s="6" t="s">
        <v>12</v>
      </c>
      <c r="E43" s="7">
        <v>0.32</v>
      </c>
      <c r="F43" s="8">
        <v>0.2573367875</v>
      </c>
    </row>
    <row r="44" customHeight="1" spans="1:6">
      <c r="A44" s="6" t="s">
        <v>14</v>
      </c>
      <c r="B44" s="6" t="s">
        <v>10</v>
      </c>
      <c r="C44" s="6">
        <v>128</v>
      </c>
      <c r="D44" s="6" t="s">
        <v>13</v>
      </c>
      <c r="E44" s="7">
        <v>0.12</v>
      </c>
      <c r="F44" s="8">
        <v>0.1549193338</v>
      </c>
    </row>
    <row r="45" customHeight="1" spans="1:6">
      <c r="A45" s="6" t="s">
        <v>14</v>
      </c>
      <c r="B45" s="6" t="s">
        <v>10</v>
      </c>
      <c r="C45" s="6">
        <v>256</v>
      </c>
      <c r="D45" s="6" t="s">
        <v>12</v>
      </c>
      <c r="E45" s="7">
        <v>0.35</v>
      </c>
      <c r="F45" s="8">
        <v>0.2273030283</v>
      </c>
    </row>
    <row r="46" customHeight="1" spans="1:6">
      <c r="A46" s="6" t="s">
        <v>14</v>
      </c>
      <c r="B46" s="6" t="s">
        <v>10</v>
      </c>
      <c r="C46" s="6">
        <v>256</v>
      </c>
      <c r="D46" s="6" t="s">
        <v>13</v>
      </c>
      <c r="E46" s="7">
        <v>0.09</v>
      </c>
      <c r="F46" s="8">
        <v>0.191195072</v>
      </c>
    </row>
    <row r="47" customHeight="1" spans="1:6">
      <c r="A47" s="6" t="s">
        <v>14</v>
      </c>
      <c r="B47" s="6" t="s">
        <v>10</v>
      </c>
      <c r="C47" s="6">
        <v>512</v>
      </c>
      <c r="D47" s="6" t="s">
        <v>12</v>
      </c>
      <c r="E47" s="7">
        <v>0.27</v>
      </c>
      <c r="F47" s="8">
        <v>0.271006355</v>
      </c>
    </row>
    <row r="48" customHeight="1" spans="1:6">
      <c r="A48" s="6" t="s">
        <v>14</v>
      </c>
      <c r="B48" s="6" t="s">
        <v>10</v>
      </c>
      <c r="C48" s="6">
        <v>512</v>
      </c>
      <c r="D48" s="6" t="s">
        <v>13</v>
      </c>
      <c r="E48" s="7">
        <v>0.09</v>
      </c>
      <c r="F48" s="8">
        <v>0.1370320319</v>
      </c>
    </row>
    <row r="50" customHeight="1" spans="1:7">
      <c r="A50" s="6" t="s">
        <v>15</v>
      </c>
      <c r="B50" s="6" t="s">
        <v>7</v>
      </c>
      <c r="C50" s="6">
        <v>128</v>
      </c>
      <c r="D50" s="6" t="s">
        <v>12</v>
      </c>
      <c r="E50" s="7">
        <v>0</v>
      </c>
      <c r="F50" s="8">
        <v>0</v>
      </c>
      <c r="G50" s="9"/>
    </row>
    <row r="51" customHeight="1" spans="1:7">
      <c r="A51" s="6" t="s">
        <v>15</v>
      </c>
      <c r="B51" s="6" t="s">
        <v>7</v>
      </c>
      <c r="C51" s="6">
        <v>128</v>
      </c>
      <c r="D51" s="6" t="s">
        <v>13</v>
      </c>
      <c r="E51" s="7">
        <f>IFERROR(__xludf.DUMMYFUNCTION("AVERAGE(FILTER(Table1[SR], (Table1[Depth Estimator]=A51)*(Table1[Camera Setting]=B51)*(Table1[Resolution]=C51)*(Table1[Input]=D51)))"),0)</f>
        <v>0</v>
      </c>
      <c r="F51" s="8">
        <f>IFERROR(__xludf.DUMMYFUNCTION("STDEV.S(FILTER(Table1[SR], (Table1[Depth Estimator]=A51)*(Table1[Camera Setting]=B51)*(Table1[Resolution]=C51)*(Table1[Input]=D51)))"),0)</f>
        <v>0</v>
      </c>
    </row>
    <row r="52" customHeight="1" spans="1:7">
      <c r="A52" s="6" t="s">
        <v>15</v>
      </c>
      <c r="B52" s="6" t="s">
        <v>7</v>
      </c>
      <c r="C52" s="6">
        <v>256</v>
      </c>
      <c r="D52" s="6" t="s">
        <v>12</v>
      </c>
      <c r="E52" s="7">
        <f>IFERROR(__xludf.DUMMYFUNCTION("AVERAGE(FILTER(Table1[SR], (Table1[Depth Estimator]=A52)*(Table1[Camera Setting]=B52)*(Table1[Resolution]=C52)*(Table1[Input]=D52)))"),0)</f>
        <v>0</v>
      </c>
      <c r="F52" s="8">
        <f>IFERROR(__xludf.DUMMYFUNCTION("STDEV.S(FILTER(Table1[SR], (Table1[Depth Estimator]=A52)*(Table1[Camera Setting]=B52)*(Table1[Resolution]=C52)*(Table1[Input]=D52)))"),0)</f>
        <v>0</v>
      </c>
    </row>
    <row r="53" customHeight="1" spans="1:7">
      <c r="A53" s="6" t="s">
        <v>15</v>
      </c>
      <c r="B53" s="6" t="s">
        <v>7</v>
      </c>
      <c r="C53" s="6">
        <v>256</v>
      </c>
      <c r="D53" s="6" t="s">
        <v>13</v>
      </c>
      <c r="E53" s="7">
        <f>IFERROR(__xludf.DUMMYFUNCTION("AVERAGE(FILTER(Table1[SR], (Table1[Depth Estimator]=A53)*(Table1[Camera Setting]=B53)*(Table1[Resolution]=C53)*(Table1[Input]=D53)))"),0)</f>
        <v>0</v>
      </c>
      <c r="F53" s="8">
        <f>IFERROR(__xludf.DUMMYFUNCTION("STDEV.S(FILTER(Table1[SR], (Table1[Depth Estimator]=A53)*(Table1[Camera Setting]=B53)*(Table1[Resolution]=C53)*(Table1[Input]=D53)))"),0)</f>
        <v>0</v>
      </c>
    </row>
    <row r="54" customHeight="1" spans="1:7">
      <c r="A54" s="6" t="s">
        <v>15</v>
      </c>
      <c r="B54" s="6" t="s">
        <v>7</v>
      </c>
      <c r="C54" s="6">
        <v>512</v>
      </c>
      <c r="D54" s="6" t="s">
        <v>12</v>
      </c>
      <c r="E54" s="7">
        <f>IFERROR(__xludf.DUMMYFUNCTION("AVERAGE(FILTER(Table1[SR], (Table1[Depth Estimator]=A54)*(Table1[Camera Setting]=B54)*(Table1[Resolution]=C54)*(Table1[Input]=D54)))"),0)</f>
        <v>0</v>
      </c>
      <c r="F54" s="8">
        <f>IFERROR(__xludf.DUMMYFUNCTION("STDEV.S(FILTER(Table1[SR], (Table1[Depth Estimator]=A54)*(Table1[Camera Setting]=B54)*(Table1[Resolution]=C54)*(Table1[Input]=D54)))"),0)</f>
        <v>0</v>
      </c>
    </row>
    <row r="55" customHeight="1" spans="1:7">
      <c r="A55" s="6" t="s">
        <v>15</v>
      </c>
      <c r="B55" s="6" t="s">
        <v>7</v>
      </c>
      <c r="C55" s="6">
        <v>512</v>
      </c>
      <c r="D55" s="6" t="s">
        <v>13</v>
      </c>
      <c r="E55" s="7">
        <f>IFERROR(__xludf.DUMMYFUNCTION("AVERAGE(FILTER(Table1[SR], (Table1[Depth Estimator]=A55)*(Table1[Camera Setting]=B55)*(Table1[Resolution]=C55)*(Table1[Input]=D55)))"),0)</f>
        <v>0</v>
      </c>
      <c r="F55" s="8">
        <f>IFERROR(__xludf.DUMMYFUNCTION("STDEV.S(FILTER(Table1[SR], (Table1[Depth Estimator]=A55)*(Table1[Camera Setting]=B55)*(Table1[Resolution]=C55)*(Table1[Input]=D55)))"),0)</f>
        <v>0</v>
      </c>
    </row>
    <row r="56" customHeight="1" spans="1:7">
      <c r="A56" s="6" t="s">
        <v>15</v>
      </c>
      <c r="B56" s="6" t="s">
        <v>9</v>
      </c>
      <c r="C56" s="6">
        <v>128</v>
      </c>
      <c r="D56" s="6" t="s">
        <v>12</v>
      </c>
      <c r="E56" s="7">
        <v>0.55</v>
      </c>
      <c r="F56" s="8">
        <v>0.287711275</v>
      </c>
    </row>
    <row r="57" customHeight="1" spans="1:7">
      <c r="A57" s="6" t="s">
        <v>15</v>
      </c>
      <c r="B57" s="6" t="s">
        <v>9</v>
      </c>
      <c r="C57" s="6">
        <v>128</v>
      </c>
      <c r="D57" s="6" t="s">
        <v>13</v>
      </c>
      <c r="E57" s="7">
        <v>0.06</v>
      </c>
      <c r="F57" s="8">
        <v>0.09660917831</v>
      </c>
    </row>
    <row r="58" customHeight="1" spans="1:7">
      <c r="A58" s="6" t="s">
        <v>15</v>
      </c>
      <c r="B58" s="6" t="s">
        <v>9</v>
      </c>
      <c r="C58" s="6">
        <v>256</v>
      </c>
      <c r="D58" s="6" t="s">
        <v>12</v>
      </c>
      <c r="E58" s="7">
        <v>0.61</v>
      </c>
      <c r="F58" s="8">
        <v>0.2469817807</v>
      </c>
    </row>
    <row r="59" customHeight="1" spans="1:7">
      <c r="A59" s="6" t="s">
        <v>15</v>
      </c>
      <c r="B59" s="6" t="s">
        <v>9</v>
      </c>
      <c r="C59" s="6">
        <v>256</v>
      </c>
      <c r="D59" s="6" t="s">
        <v>13</v>
      </c>
      <c r="E59" s="7">
        <v>0.02</v>
      </c>
      <c r="F59" s="8">
        <v>0.04216370214</v>
      </c>
    </row>
    <row r="60" customHeight="1" spans="1:7">
      <c r="A60" s="6" t="s">
        <v>15</v>
      </c>
      <c r="B60" s="6" t="s">
        <v>9</v>
      </c>
      <c r="C60" s="6">
        <v>512</v>
      </c>
      <c r="D60" s="6" t="s">
        <v>12</v>
      </c>
      <c r="E60" s="7">
        <v>0.45</v>
      </c>
      <c r="F60" s="8">
        <v>0.2718251072</v>
      </c>
    </row>
    <row r="61" customHeight="1" spans="1:7">
      <c r="A61" s="6" t="s">
        <v>15</v>
      </c>
      <c r="B61" s="6" t="s">
        <v>9</v>
      </c>
      <c r="C61" s="6">
        <v>512</v>
      </c>
      <c r="D61" s="6" t="s">
        <v>13</v>
      </c>
      <c r="E61" s="7">
        <v>0.01</v>
      </c>
      <c r="F61" s="8">
        <v>0.0316227766</v>
      </c>
    </row>
    <row r="62" customHeight="1" spans="1:7">
      <c r="A62" s="6" t="s">
        <v>15</v>
      </c>
      <c r="B62" s="6" t="s">
        <v>10</v>
      </c>
      <c r="C62" s="6">
        <v>128</v>
      </c>
      <c r="D62" s="6" t="s">
        <v>12</v>
      </c>
      <c r="E62" s="7">
        <v>0.27</v>
      </c>
      <c r="F62" s="8">
        <v>0.2907843798</v>
      </c>
    </row>
    <row r="63" customHeight="1" spans="1:7">
      <c r="A63" s="6" t="s">
        <v>15</v>
      </c>
      <c r="B63" s="6" t="s">
        <v>10</v>
      </c>
      <c r="C63" s="6">
        <v>128</v>
      </c>
      <c r="D63" s="6" t="s">
        <v>13</v>
      </c>
      <c r="E63" s="7">
        <v>0.14</v>
      </c>
      <c r="F63" s="8">
        <v>0.2716206505</v>
      </c>
    </row>
    <row r="64" customHeight="1" spans="1:7">
      <c r="A64" s="6" t="s">
        <v>15</v>
      </c>
      <c r="B64" s="6" t="s">
        <v>10</v>
      </c>
      <c r="C64" s="6">
        <v>256</v>
      </c>
      <c r="D64" s="6" t="s">
        <v>12</v>
      </c>
      <c r="E64" s="7">
        <v>0.43</v>
      </c>
      <c r="F64" s="8">
        <v>0.2907843798</v>
      </c>
    </row>
    <row r="65" customHeight="1" spans="1:26">
      <c r="A65" s="6" t="s">
        <v>15</v>
      </c>
      <c r="B65" s="6" t="s">
        <v>10</v>
      </c>
      <c r="C65" s="6">
        <v>256</v>
      </c>
      <c r="D65" s="6" t="s">
        <v>13</v>
      </c>
      <c r="E65" s="7">
        <v>0.07</v>
      </c>
      <c r="F65" s="8">
        <v>0.1494434118</v>
      </c>
    </row>
    <row r="66" customHeight="1" spans="1:26">
      <c r="A66" s="6" t="s">
        <v>15</v>
      </c>
      <c r="B66" s="6" t="s">
        <v>10</v>
      </c>
      <c r="C66" s="6">
        <v>512</v>
      </c>
      <c r="D66" s="6" t="s">
        <v>12</v>
      </c>
      <c r="E66" s="7">
        <v>0.24</v>
      </c>
      <c r="F66" s="8">
        <v>0.1712697677</v>
      </c>
    </row>
    <row r="67" customHeight="1" spans="1:26">
      <c r="A67" s="6" t="s">
        <v>15</v>
      </c>
      <c r="B67" s="6" t="s">
        <v>10</v>
      </c>
      <c r="C67" s="6">
        <v>512</v>
      </c>
      <c r="D67" s="6" t="s">
        <v>13</v>
      </c>
      <c r="E67" s="7">
        <v>0.07</v>
      </c>
      <c r="F67" s="8">
        <v>0.1494434118</v>
      </c>
    </row>
    <row r="69" customHeight="1" spans="1:26">
      <c r="A69" s="6" t="s">
        <v>16</v>
      </c>
      <c r="B69" s="6" t="s">
        <v>7</v>
      </c>
      <c r="C69" s="6">
        <v>128</v>
      </c>
      <c r="D69" s="6" t="s">
        <v>12</v>
      </c>
      <c r="E69" s="7">
        <f>IFERROR(__xludf.DUMMYFUNCTION("AVERAGE(FILTER(Table1[SR], (Table1[Depth Estimator]=A69)*(Table1[Camera Setting]=B69)*(Table1[Resolution]=C69)*(Table1[Input]=D69)))"),0.05)</f>
        <v>0.05</v>
      </c>
      <c r="F69" s="8">
        <f>IFERROR(__xludf.DUMMYFUNCTION("STDEV.S(FILTER(Table1[SR], (Table1[Depth Estimator]=A69)*(Table1[Camera Setting]=B69)*(Table1[Resolution]=C69)*(Table1[Input]=D69)))"),0.1)</f>
        <v>0.1</v>
      </c>
      <c r="G69" s="9"/>
    </row>
    <row r="70" customHeight="1" spans="1:26">
      <c r="A70" s="6" t="s">
        <v>16</v>
      </c>
      <c r="B70" s="6" t="s">
        <v>7</v>
      </c>
      <c r="C70" s="6">
        <v>128</v>
      </c>
      <c r="D70" s="6" t="s">
        <v>13</v>
      </c>
      <c r="E70" s="7">
        <f>IFERROR(__xludf.DUMMYFUNCTION("AVERAGE(FILTER(Table1[SR], (Table1[Depth Estimator]=A70)*(Table1[Camera Setting]=B70)*(Table1[Resolution]=C70)*(Table1[Input]=D70)))"),0)</f>
        <v>0</v>
      </c>
      <c r="F70" s="8">
        <f>IFERROR(__xludf.DUMMYFUNCTION("STDEV.S(FILTER(Table1[SR], (Table1[Depth Estimator]=A70)*(Table1[Camera Setting]=B70)*(Table1[Resolution]=C70)*(Table1[Input]=D70)))"),0)</f>
        <v>0</v>
      </c>
    </row>
    <row r="71" customHeight="1" spans="1:26">
      <c r="A71" s="6" t="s">
        <v>16</v>
      </c>
      <c r="B71" s="6" t="s">
        <v>7</v>
      </c>
      <c r="C71" s="6">
        <v>256</v>
      </c>
      <c r="D71" s="6" t="s">
        <v>12</v>
      </c>
      <c r="E71" s="7">
        <f>IFERROR(__xludf.DUMMYFUNCTION("AVERAGE(FILTER(Table1[SR], (Table1[Depth Estimator]=A71)*(Table1[Camera Setting]=B71)*(Table1[Resolution]=C71)*(Table1[Input]=D71)))"),0.05)</f>
        <v>0.05</v>
      </c>
      <c r="F71" s="8">
        <f>IFERROR(__xludf.DUMMYFUNCTION("STDEV.S(FILTER(Table1[SR], (Table1[Depth Estimator]=A71)*(Table1[Camera Setting]=B71)*(Table1[Resolution]=C71)*(Table1[Input]=D71)))"),0.1)</f>
        <v>0.1</v>
      </c>
    </row>
    <row r="72" customHeight="1" spans="1:26">
      <c r="A72" s="6" t="s">
        <v>16</v>
      </c>
      <c r="B72" s="6" t="s">
        <v>7</v>
      </c>
      <c r="C72" s="6">
        <v>256</v>
      </c>
      <c r="D72" s="6" t="s">
        <v>13</v>
      </c>
      <c r="E72" s="7">
        <f>IFERROR(__xludf.DUMMYFUNCTION("AVERAGE(FILTER(Table1[SR], (Table1[Depth Estimator]=A72)*(Table1[Camera Setting]=B72)*(Table1[Resolution]=C72)*(Table1[Input]=D72)))"),0)</f>
        <v>0</v>
      </c>
      <c r="F72" s="8">
        <f>IFERROR(__xludf.DUMMYFUNCTION("STDEV.S(FILTER(Table1[SR], (Table1[Depth Estimator]=A72)*(Table1[Camera Setting]=B72)*(Table1[Resolution]=C72)*(Table1[Input]=D72)))"),0)</f>
        <v>0</v>
      </c>
    </row>
    <row r="73" customHeight="1" spans="1:26">
      <c r="A73" s="6" t="s">
        <v>16</v>
      </c>
      <c r="B73" s="6" t="s">
        <v>7</v>
      </c>
      <c r="C73" s="6">
        <v>512</v>
      </c>
      <c r="D73" s="6" t="s">
        <v>12</v>
      </c>
      <c r="E73" s="7">
        <f>IFERROR(__xludf.DUMMYFUNCTION("AVERAGE(FILTER(Table1[SR], (Table1[Depth Estimator]=A73)*(Table1[Camera Setting]=B73)*(Table1[Resolution]=C73)*(Table1[Input]=D73)))"),0)</f>
        <v>0</v>
      </c>
      <c r="F73" s="8">
        <f>IFERROR(__xludf.DUMMYFUNCTION("STDEV.S(FILTER(Table1[SR], (Table1[Depth Estimator]=A73)*(Table1[Camera Setting]=B73)*(Table1[Resolution]=C73)*(Table1[Input]=D73)))"),0)</f>
        <v>0</v>
      </c>
    </row>
    <row r="74" customHeight="1" spans="1:26">
      <c r="A74" s="6" t="s">
        <v>16</v>
      </c>
      <c r="B74" s="6" t="s">
        <v>7</v>
      </c>
      <c r="C74" s="6">
        <v>512</v>
      </c>
      <c r="D74" s="6" t="s">
        <v>13</v>
      </c>
      <c r="E74" s="7">
        <f>IFERROR(__xludf.DUMMYFUNCTION("AVERAGE(FILTER(Table1[SR], (Table1[Depth Estimator]=A74)*(Table1[Camera Setting]=B74)*(Table1[Resolution]=C74)*(Table1[Input]=D74)))"),0)</f>
        <v>0</v>
      </c>
      <c r="F74" s="8">
        <f>IFERROR(__xludf.DUMMYFUNCTION("STDEV.S(FILTER(Table1[SR], (Table1[Depth Estimator]=A74)*(Table1[Camera Setting]=B74)*(Table1[Resolution]=C74)*(Table1[Input]=D74)))"),0)</f>
        <v>0</v>
      </c>
    </row>
    <row r="75" customHeight="1" spans="1:26">
      <c r="A75" s="6" t="s">
        <v>16</v>
      </c>
      <c r="B75" s="6" t="s">
        <v>9</v>
      </c>
      <c r="C75" s="6">
        <v>128</v>
      </c>
      <c r="D75" s="6" t="s">
        <v>12</v>
      </c>
      <c r="E75" s="7">
        <f>IFERROR(__xludf.DUMMYFUNCTION("AVERAGE(FILTER(Table1[SR], (Table1[Depth Estimator]=A75)*(Table1[Camera Setting]=B75)*(Table1[Resolution]=C75)*(Table1[Input]=D75)))"),0.549999999999999)</f>
        <v>0.549999999999999</v>
      </c>
      <c r="F75" s="8">
        <f>IFERROR(__xludf.DUMMYFUNCTION("STDEV.S(FILTER(Table1[SR], (Table1[Depth Estimator]=A75)*(Table1[Camera Setting]=B75)*(Table1[Resolution]=C75)*(Table1[Input]=D75)))"),0.238047614284761)</f>
        <v>0.238047614284761</v>
      </c>
    </row>
    <row r="76" customHeight="1" spans="1:26">
      <c r="A76" s="6" t="s">
        <v>16</v>
      </c>
      <c r="B76" s="6" t="s">
        <v>9</v>
      </c>
      <c r="C76" s="6">
        <v>128</v>
      </c>
      <c r="D76" s="6" t="s">
        <v>13</v>
      </c>
      <c r="E76" s="7">
        <f>IFERROR(__xludf.DUMMYFUNCTION("AVERAGE(FILTER(Table1[SR], (Table1[Depth Estimator]=A76)*(Table1[Camera Setting]=B76)*(Table1[Resolution]=C76)*(Table1[Input]=D76)))"),0.1)</f>
        <v>0.1</v>
      </c>
      <c r="F76" s="8">
        <f>IFERROR(__xludf.DUMMYFUNCTION("STDEV.S(FILTER(Table1[SR], (Table1[Depth Estimator]=A76)*(Table1[Camera Setting]=B76)*(Table1[Resolution]=C76)*(Table1[Input]=D76)))"),0.0816496580927726)</f>
        <v>0.0816496580927726</v>
      </c>
    </row>
    <row r="77" customHeight="1" spans="1:26">
      <c r="A77" s="3" t="s">
        <v>16</v>
      </c>
      <c r="B77" s="3" t="s">
        <v>9</v>
      </c>
      <c r="C77" s="3">
        <v>256</v>
      </c>
      <c r="D77" s="3" t="s">
        <v>12</v>
      </c>
      <c r="E77" s="4">
        <f>IFERROR(__xludf.DUMMYFUNCTION("AVERAGE(FILTER(Table1[SR], (Table1[Depth Estimator]=A77)*(Table1[Camera Setting]=B77)*(Table1[Resolution]=C77)*(Table1[Input]=D77)))"),0.6)</f>
        <v>0.6</v>
      </c>
      <c r="F77" s="5">
        <f>IFERROR(__xludf.DUMMYFUNCTION("STDEV.S(FILTER(Table1[SR], (Table1[Depth Estimator]=A77)*(Table1[Camera Setting]=B77)*(Table1[Resolution]=C77)*(Table1[Input]=D77)))"),0.141421356237309)</f>
        <v>0.141421356237309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Height="1" spans="1:26">
      <c r="A78" s="6" t="s">
        <v>16</v>
      </c>
      <c r="B78" s="6" t="s">
        <v>9</v>
      </c>
      <c r="C78" s="6">
        <v>256</v>
      </c>
      <c r="D78" s="6" t="s">
        <v>13</v>
      </c>
      <c r="E78" s="7">
        <f>IFERROR(__xludf.DUMMYFUNCTION("AVERAGE(FILTER(Table1[SR], (Table1[Depth Estimator]=A78)*(Table1[Camera Setting]=B78)*(Table1[Resolution]=C78)*(Table1[Input]=D78)))"),0.475)</f>
        <v>0.475</v>
      </c>
      <c r="F78" s="8">
        <f>IFERROR(__xludf.DUMMYFUNCTION("STDEV.S(FILTER(Table1[SR], (Table1[Depth Estimator]=A78)*(Table1[Camera Setting]=B78)*(Table1[Resolution]=C78)*(Table1[Input]=D78)))"),0.35939764421413)</f>
        <v>0.35939764421413</v>
      </c>
    </row>
    <row r="79" customHeight="1" spans="1:26">
      <c r="A79" s="6" t="s">
        <v>16</v>
      </c>
      <c r="B79" s="6" t="s">
        <v>9</v>
      </c>
      <c r="C79" s="6">
        <v>512</v>
      </c>
      <c r="D79" s="6" t="s">
        <v>12</v>
      </c>
      <c r="E79" s="7">
        <f>IFERROR(__xludf.DUMMYFUNCTION("AVERAGE(FILTER(Table1[SR], (Table1[Depth Estimator]=A79)*(Table1[Camera Setting]=B79)*(Table1[Resolution]=C79)*(Table1[Input]=D79)))"),0.4)</f>
        <v>0.4</v>
      </c>
      <c r="F79" s="8">
        <f>IFERROR(__xludf.DUMMYFUNCTION("STDEV.S(FILTER(Table1[SR], (Table1[Depth Estimator]=A79)*(Table1[Camera Setting]=B79)*(Table1[Resolution]=C79)*(Table1[Input]=D79)))"),0.216024689946928)</f>
        <v>0.216024689946928</v>
      </c>
    </row>
    <row r="80" customHeight="1" spans="1:26">
      <c r="A80" s="6" t="s">
        <v>16</v>
      </c>
      <c r="B80" s="6" t="s">
        <v>9</v>
      </c>
      <c r="C80" s="6">
        <v>512</v>
      </c>
      <c r="D80" s="6" t="s">
        <v>13</v>
      </c>
      <c r="E80" s="7">
        <f>IFERROR(__xludf.DUMMYFUNCTION("AVERAGE(FILTER(Table1[SR], (Table1[Depth Estimator]=A80)*(Table1[Camera Setting]=B80)*(Table1[Resolution]=C80)*(Table1[Input]=D80)))"),0.35)</f>
        <v>0.35</v>
      </c>
      <c r="F80" s="8">
        <f>IFERROR(__xludf.DUMMYFUNCTION("STDEV.S(FILTER(Table1[SR], (Table1[Depth Estimator]=A80)*(Table1[Camera Setting]=B80)*(Table1[Resolution]=C80)*(Table1[Input]=D80)))"),0.341565025531986)</f>
        <v>0.341565025531986</v>
      </c>
    </row>
    <row r="81" customHeight="1" spans="1:7">
      <c r="A81" s="6" t="s">
        <v>16</v>
      </c>
      <c r="B81" s="6" t="s">
        <v>10</v>
      </c>
      <c r="C81" s="6">
        <v>128</v>
      </c>
      <c r="D81" s="6" t="s">
        <v>12</v>
      </c>
      <c r="E81" s="7">
        <f>IFERROR(__xludf.DUMMYFUNCTION("AVERAGE(FILTER(Table1[SR], (Table1[Depth Estimator]=A81)*(Table1[Camera Setting]=B81)*(Table1[Resolution]=C81)*(Table1[Input]=D81)))"),0.524999999999999)</f>
        <v>0.524999999999999</v>
      </c>
      <c r="F81" s="8">
        <f>IFERROR(__xludf.DUMMYFUNCTION("STDEV.S(FILTER(Table1[SR], (Table1[Depth Estimator]=A81)*(Table1[Camera Setting]=B81)*(Table1[Resolution]=C81)*(Table1[Input]=D81)))"),0.149999999999999)</f>
        <v>0.149999999999999</v>
      </c>
    </row>
    <row r="82" customHeight="1" spans="1:7">
      <c r="A82" s="6" t="s">
        <v>16</v>
      </c>
      <c r="B82" s="6" t="s">
        <v>10</v>
      </c>
      <c r="C82" s="6">
        <v>128</v>
      </c>
      <c r="D82" s="6" t="s">
        <v>13</v>
      </c>
      <c r="E82" s="7">
        <f>IFERROR(__xludf.DUMMYFUNCTION("AVERAGE(FILTER(Table1[SR], (Table1[Depth Estimator]=A82)*(Table1[Camera Setting]=B82)*(Table1[Resolution]=C82)*(Table1[Input]=D82)))"),0.225)</f>
        <v>0.225</v>
      </c>
      <c r="F82" s="8">
        <f>IFERROR(__xludf.DUMMYFUNCTION("STDEV.S(FILTER(Table1[SR], (Table1[Depth Estimator]=A82)*(Table1[Camera Setting]=B82)*(Table1[Resolution]=C82)*(Table1[Input]=D82)))"),0.262995563967658)</f>
        <v>0.262995563967658</v>
      </c>
    </row>
    <row r="83" customHeight="1" spans="1:7">
      <c r="A83" s="6" t="s">
        <v>16</v>
      </c>
      <c r="B83" s="6" t="s">
        <v>10</v>
      </c>
      <c r="C83" s="6">
        <v>256</v>
      </c>
      <c r="D83" s="6" t="s">
        <v>12</v>
      </c>
      <c r="E83" s="7">
        <f>IFERROR(__xludf.DUMMYFUNCTION("AVERAGE(FILTER(Table1[SR], (Table1[Depth Estimator]=A83)*(Table1[Camera Setting]=B83)*(Table1[Resolution]=C83)*(Table1[Input]=D83)))"),0.55)</f>
        <v>0.55</v>
      </c>
      <c r="F83" s="8">
        <f>IFERROR(__xludf.DUMMYFUNCTION("STDEV.S(FILTER(Table1[SR], (Table1[Depth Estimator]=A83)*(Table1[Camera Setting]=B83)*(Table1[Resolution]=C83)*(Table1[Input]=D83)))"),0.331662479035539)</f>
        <v>0.331662479035539</v>
      </c>
    </row>
    <row r="84" customHeight="1" spans="1:7">
      <c r="A84" s="6" t="s">
        <v>16</v>
      </c>
      <c r="B84" s="6" t="s">
        <v>10</v>
      </c>
      <c r="C84" s="6">
        <v>256</v>
      </c>
      <c r="D84" s="6" t="s">
        <v>13</v>
      </c>
      <c r="E84" s="7">
        <f>IFERROR(__xludf.DUMMYFUNCTION("AVERAGE(FILTER(Table1[SR], (Table1[Depth Estimator]=A84)*(Table1[Camera Setting]=B84)*(Table1[Resolution]=C84)*(Table1[Input]=D84)))"),0.324999999999999)</f>
        <v>0.324999999999999</v>
      </c>
      <c r="F84" s="8">
        <f>IFERROR(__xludf.DUMMYFUNCTION("STDEV.S(FILTER(Table1[SR], (Table1[Depth Estimator]=A84)*(Table1[Camera Setting]=B84)*(Table1[Resolution]=C84)*(Table1[Input]=D84)))"),0.320156211871642)</f>
        <v>0.320156211871642</v>
      </c>
    </row>
    <row r="85" customHeight="1" spans="1:7">
      <c r="A85" s="6" t="s">
        <v>16</v>
      </c>
      <c r="B85" s="6" t="s">
        <v>10</v>
      </c>
      <c r="C85" s="6">
        <v>512</v>
      </c>
      <c r="D85" s="6" t="s">
        <v>12</v>
      </c>
      <c r="E85" s="7">
        <f>IFERROR(__xludf.DUMMYFUNCTION("AVERAGE(FILTER(Table1[SR], (Table1[Depth Estimator]=A85)*(Table1[Camera Setting]=B85)*(Table1[Resolution]=C85)*(Table1[Input]=D85)))"),0.575)</f>
        <v>0.575</v>
      </c>
      <c r="F85" s="8">
        <f>IFERROR(__xludf.DUMMYFUNCTION("STDEV.S(FILTER(Table1[SR], (Table1[Depth Estimator]=A85)*(Table1[Camera Setting]=B85)*(Table1[Resolution]=C85)*(Table1[Input]=D85)))"),0.262995563967658)</f>
        <v>0.262995563967658</v>
      </c>
    </row>
    <row r="86" customHeight="1" spans="1:7">
      <c r="A86" s="6" t="s">
        <v>16</v>
      </c>
      <c r="B86" s="6" t="s">
        <v>10</v>
      </c>
      <c r="C86" s="6">
        <v>512</v>
      </c>
      <c r="D86" s="6" t="s">
        <v>13</v>
      </c>
      <c r="E86" s="7">
        <f>IFERROR(__xludf.DUMMYFUNCTION("AVERAGE(FILTER(Table1[SR], (Table1[Depth Estimator]=A86)*(Table1[Camera Setting]=B86)*(Table1[Resolution]=C86)*(Table1[Input]=D86)))"),0.375)</f>
        <v>0.375</v>
      </c>
      <c r="F86" s="8">
        <f>IFERROR(__xludf.DUMMYFUNCTION("STDEV.S(FILTER(Table1[SR], (Table1[Depth Estimator]=A86)*(Table1[Camera Setting]=B86)*(Table1[Resolution]=C86)*(Table1[Input]=D86)))"),0.386221007541882)</f>
        <v>0.386221007541882</v>
      </c>
    </row>
    <row r="88" customHeight="1" spans="1:7">
      <c r="A88" s="6" t="s">
        <v>17</v>
      </c>
      <c r="B88" s="6" t="s">
        <v>7</v>
      </c>
      <c r="C88" s="6">
        <v>128</v>
      </c>
      <c r="D88" s="6" t="s">
        <v>12</v>
      </c>
      <c r="E88" s="7">
        <f>IFERROR(__xludf.DUMMYFUNCTION("AVERAGE(FILTER(Table1[SR], (Table1[Depth Estimator]=A88)*(Table1[Camera Setting]=B88)*(Table1[Resolution]=C88)*(Table1[Input]=D88)))"),0)</f>
        <v>0</v>
      </c>
      <c r="F88" s="8">
        <f>IFERROR(__xludf.DUMMYFUNCTION("STDEV.S(FILTER(Table1[SR], (Table1[Depth Estimator]=A88)*(Table1[Camera Setting]=B88)*(Table1[Resolution]=C88)*(Table1[Input]=D88)))"),0)</f>
        <v>0</v>
      </c>
      <c r="G88" s="9"/>
    </row>
    <row r="89" customHeight="1" spans="1:7">
      <c r="A89" s="6" t="s">
        <v>17</v>
      </c>
      <c r="B89" s="6" t="s">
        <v>7</v>
      </c>
      <c r="C89" s="6">
        <v>128</v>
      </c>
      <c r="D89" s="6" t="s">
        <v>13</v>
      </c>
      <c r="E89" s="7">
        <f>IFERROR(__xludf.DUMMYFUNCTION("AVERAGE(FILTER(Table1[SR], (Table1[Depth Estimator]=A89)*(Table1[Camera Setting]=B89)*(Table1[Resolution]=C89)*(Table1[Input]=D89)))"),0)</f>
        <v>0</v>
      </c>
      <c r="F89" s="8">
        <f>IFERROR(__xludf.DUMMYFUNCTION("STDEV.S(FILTER(Table1[SR], (Table1[Depth Estimator]=A89)*(Table1[Camera Setting]=B89)*(Table1[Resolution]=C89)*(Table1[Input]=D89)))"),0)</f>
        <v>0</v>
      </c>
    </row>
    <row r="90" customHeight="1" spans="1:7">
      <c r="A90" s="6" t="s">
        <v>17</v>
      </c>
      <c r="B90" s="6" t="s">
        <v>7</v>
      </c>
      <c r="C90" s="6">
        <v>256</v>
      </c>
      <c r="D90" s="6" t="s">
        <v>12</v>
      </c>
      <c r="E90" s="7">
        <f>IFERROR(__xludf.DUMMYFUNCTION("AVERAGE(FILTER(Table1[SR], (Table1[Depth Estimator]=A90)*(Table1[Camera Setting]=B90)*(Table1[Resolution]=C90)*(Table1[Input]=D90)))"),0)</f>
        <v>0</v>
      </c>
      <c r="F90" s="8">
        <f>IFERROR(__xludf.DUMMYFUNCTION("STDEV.S(FILTER(Table1[SR], (Table1[Depth Estimator]=A90)*(Table1[Camera Setting]=B90)*(Table1[Resolution]=C90)*(Table1[Input]=D90)))"),0)</f>
        <v>0</v>
      </c>
    </row>
    <row r="91" customHeight="1" spans="1:7">
      <c r="A91" s="6" t="s">
        <v>17</v>
      </c>
      <c r="B91" s="6" t="s">
        <v>7</v>
      </c>
      <c r="C91" s="6">
        <v>256</v>
      </c>
      <c r="D91" s="6" t="s">
        <v>13</v>
      </c>
      <c r="E91" s="7">
        <f>IFERROR(__xludf.DUMMYFUNCTION("AVERAGE(FILTER(Table1[SR], (Table1[Depth Estimator]=A91)*(Table1[Camera Setting]=B91)*(Table1[Resolution]=C91)*(Table1[Input]=D91)))"),0)</f>
        <v>0</v>
      </c>
      <c r="F91" s="8">
        <f>IFERROR(__xludf.DUMMYFUNCTION("STDEV.S(FILTER(Table1[SR], (Table1[Depth Estimator]=A91)*(Table1[Camera Setting]=B91)*(Table1[Resolution]=C91)*(Table1[Input]=D91)))"),0)</f>
        <v>0</v>
      </c>
    </row>
    <row r="92" customHeight="1" spans="1:7">
      <c r="A92" s="6" t="s">
        <v>17</v>
      </c>
      <c r="B92" s="6" t="s">
        <v>7</v>
      </c>
      <c r="C92" s="6">
        <v>512</v>
      </c>
      <c r="D92" s="6" t="s">
        <v>12</v>
      </c>
      <c r="E92" s="7">
        <f>IFERROR(__xludf.DUMMYFUNCTION("AVERAGE(FILTER(Table1[SR], (Table1[Depth Estimator]=A92)*(Table1[Camera Setting]=B92)*(Table1[Resolution]=C92)*(Table1[Input]=D92)))"),0)</f>
        <v>0</v>
      </c>
      <c r="F92" s="8">
        <f>IFERROR(__xludf.DUMMYFUNCTION("STDEV.S(FILTER(Table1[SR], (Table1[Depth Estimator]=A92)*(Table1[Camera Setting]=B92)*(Table1[Resolution]=C92)*(Table1[Input]=D92)))"),0)</f>
        <v>0</v>
      </c>
    </row>
    <row r="93" customHeight="1" spans="1:7">
      <c r="A93" s="6" t="s">
        <v>17</v>
      </c>
      <c r="B93" s="6" t="s">
        <v>7</v>
      </c>
      <c r="C93" s="6">
        <v>512</v>
      </c>
      <c r="D93" s="6" t="s">
        <v>13</v>
      </c>
      <c r="E93" s="7">
        <f>IFERROR(__xludf.DUMMYFUNCTION("AVERAGE(FILTER(Table1[SR], (Table1[Depth Estimator]=A93)*(Table1[Camera Setting]=B93)*(Table1[Resolution]=C93)*(Table1[Input]=D93)))"),0)</f>
        <v>0</v>
      </c>
      <c r="F93" s="8">
        <f>IFERROR(__xludf.DUMMYFUNCTION("STDEV.S(FILTER(Table1[SR], (Table1[Depth Estimator]=A93)*(Table1[Camera Setting]=B93)*(Table1[Resolution]=C93)*(Table1[Input]=D93)))"),0)</f>
        <v>0</v>
      </c>
    </row>
    <row r="94" customHeight="1" spans="1:7">
      <c r="A94" s="6" t="s">
        <v>17</v>
      </c>
      <c r="B94" s="6" t="s">
        <v>9</v>
      </c>
      <c r="C94" s="6">
        <v>128</v>
      </c>
      <c r="D94" s="6" t="s">
        <v>12</v>
      </c>
      <c r="E94" s="7">
        <f>IFERROR(__xludf.DUMMYFUNCTION("AVERAGE(FILTER(Table1[SR], (Table1[Depth Estimator]=A94)*(Table1[Camera Setting]=B94)*(Table1[Resolution]=C94)*(Table1[Input]=D94)))"),0.075)</f>
        <v>0.075</v>
      </c>
      <c r="F94" s="8">
        <f>IFERROR(__xludf.DUMMYFUNCTION("STDEV.S(FILTER(Table1[SR], (Table1[Depth Estimator]=A94)*(Table1[Camera Setting]=B94)*(Table1[Resolution]=C94)*(Table1[Input]=D94)))"),0.0957427107756338)</f>
        <v>0.0957427107756338</v>
      </c>
    </row>
    <row r="95" customHeight="1" spans="1:7">
      <c r="A95" s="6" t="s">
        <v>17</v>
      </c>
      <c r="B95" s="6" t="s">
        <v>9</v>
      </c>
      <c r="C95" s="6">
        <v>128</v>
      </c>
      <c r="D95" s="6" t="s">
        <v>13</v>
      </c>
      <c r="E95" s="7">
        <f>IFERROR(__xludf.DUMMYFUNCTION("AVERAGE(FILTER(Table1[SR], (Table1[Depth Estimator]=A95)*(Table1[Camera Setting]=B95)*(Table1[Resolution]=C95)*(Table1[Input]=D95)))"),0.025)</f>
        <v>0.025</v>
      </c>
      <c r="F95" s="8">
        <f>IFERROR(__xludf.DUMMYFUNCTION("STDEV.S(FILTER(Table1[SR], (Table1[Depth Estimator]=A95)*(Table1[Camera Setting]=B95)*(Table1[Resolution]=C95)*(Table1[Input]=D95)))"),0.05)</f>
        <v>0.05</v>
      </c>
    </row>
    <row r="96" customHeight="1" spans="1:7">
      <c r="A96" s="3" t="s">
        <v>17</v>
      </c>
      <c r="B96" s="3" t="s">
        <v>9</v>
      </c>
      <c r="C96" s="3">
        <v>256</v>
      </c>
      <c r="D96" s="3" t="s">
        <v>12</v>
      </c>
      <c r="E96" s="4">
        <f>IFERROR(__xludf.DUMMYFUNCTION("AVERAGE(FILTER(Table1[SR], (Table1[Depth Estimator]=A96)*(Table1[Camera Setting]=B96)*(Table1[Resolution]=C96)*(Table1[Input]=D96)))"),0.2)</f>
        <v>0.2</v>
      </c>
      <c r="F96" s="5">
        <f>IFERROR(__xludf.DUMMYFUNCTION("STDEV.S(FILTER(Table1[SR], (Table1[Depth Estimator]=A96)*(Table1[Camera Setting]=B96)*(Table1[Resolution]=C96)*(Table1[Input]=D96)))"),0.0816496580927725)</f>
        <v>0.0816496580927725</v>
      </c>
      <c r="G96" s="10"/>
    </row>
    <row r="97" customHeight="1" spans="1:7">
      <c r="A97" s="6" t="s">
        <v>17</v>
      </c>
      <c r="B97" s="6" t="s">
        <v>9</v>
      </c>
      <c r="C97" s="6">
        <v>256</v>
      </c>
      <c r="D97" s="6" t="s">
        <v>13</v>
      </c>
      <c r="E97" s="7">
        <f>IFERROR(__xludf.DUMMYFUNCTION("AVERAGE(FILTER(Table1[SR], (Table1[Depth Estimator]=A97)*(Table1[Camera Setting]=B97)*(Table1[Resolution]=C97)*(Table1[Input]=D97)))"),0.15)</f>
        <v>0.15</v>
      </c>
      <c r="F97" s="8">
        <f>IFERROR(__xludf.DUMMYFUNCTION("STDEV.S(FILTER(Table1[SR], (Table1[Depth Estimator]=A97)*(Table1[Camera Setting]=B97)*(Table1[Resolution]=C97)*(Table1[Input]=D97)))"),0.1)</f>
        <v>0.1</v>
      </c>
    </row>
    <row r="98" customHeight="1" spans="1:7">
      <c r="A98" s="6" t="s">
        <v>17</v>
      </c>
      <c r="B98" s="6" t="s">
        <v>9</v>
      </c>
      <c r="C98" s="6">
        <v>512</v>
      </c>
      <c r="D98" s="6" t="s">
        <v>12</v>
      </c>
      <c r="E98" s="7">
        <f>IFERROR(__xludf.DUMMYFUNCTION("AVERAGE(FILTER(Table1[SR], (Table1[Depth Estimator]=A98)*(Table1[Camera Setting]=B98)*(Table1[Resolution]=C98)*(Table1[Input]=D98)))"),0)</f>
        <v>0</v>
      </c>
      <c r="F98" s="8">
        <f>IFERROR(__xludf.DUMMYFUNCTION("STDEV.S(FILTER(Table1[SR], (Table1[Depth Estimator]=A98)*(Table1[Camera Setting]=B98)*(Table1[Resolution]=C98)*(Table1[Input]=D98)))"),0)</f>
        <v>0</v>
      </c>
    </row>
    <row r="99" customHeight="1" spans="1:7">
      <c r="A99" s="6" t="s">
        <v>17</v>
      </c>
      <c r="B99" s="6" t="s">
        <v>9</v>
      </c>
      <c r="C99" s="6">
        <v>512</v>
      </c>
      <c r="D99" s="6" t="s">
        <v>13</v>
      </c>
      <c r="E99" s="7">
        <f>IFERROR(__xludf.DUMMYFUNCTION("AVERAGE(FILTER(Table1[SR], (Table1[Depth Estimator]=A99)*(Table1[Camera Setting]=B99)*(Table1[Resolution]=C99)*(Table1[Input]=D99)))"),0.025)</f>
        <v>0.025</v>
      </c>
      <c r="F99" s="8">
        <f>IFERROR(__xludf.DUMMYFUNCTION("STDEV.S(FILTER(Table1[SR], (Table1[Depth Estimator]=A99)*(Table1[Camera Setting]=B99)*(Table1[Resolution]=C99)*(Table1[Input]=D99)))"),0.05)</f>
        <v>0.05</v>
      </c>
    </row>
    <row r="100" customHeight="1" spans="1:7">
      <c r="A100" s="6" t="s">
        <v>17</v>
      </c>
      <c r="B100" s="6" t="s">
        <v>10</v>
      </c>
      <c r="C100" s="6">
        <v>128</v>
      </c>
      <c r="D100" s="6" t="s">
        <v>12</v>
      </c>
      <c r="E100" s="7">
        <f>IFERROR(__xludf.DUMMYFUNCTION("AVERAGE(FILTER(Table1[SR], (Table1[Depth Estimator]=A100)*(Table1[Camera Setting]=B100)*(Table1[Resolution]=C100)*(Table1[Input]=D100)))"),0.025)</f>
        <v>0.025</v>
      </c>
      <c r="F100" s="8">
        <f>IFERROR(__xludf.DUMMYFUNCTION("STDEV.S(FILTER(Table1[SR], (Table1[Depth Estimator]=A100)*(Table1[Camera Setting]=B100)*(Table1[Resolution]=C100)*(Table1[Input]=D100)))"),0.05)</f>
        <v>0.05</v>
      </c>
    </row>
    <row r="101" customHeight="1" spans="1:7">
      <c r="A101" s="6" t="s">
        <v>17</v>
      </c>
      <c r="B101" s="6" t="s">
        <v>10</v>
      </c>
      <c r="C101" s="6">
        <v>128</v>
      </c>
      <c r="D101" s="6" t="s">
        <v>13</v>
      </c>
      <c r="E101" s="7">
        <f>IFERROR(__xludf.DUMMYFUNCTION("AVERAGE(FILTER(Table1[SR], (Table1[Depth Estimator]=A101)*(Table1[Camera Setting]=B101)*(Table1[Resolution]=C101)*(Table1[Input]=D101)))"),0.025)</f>
        <v>0.025</v>
      </c>
      <c r="F101" s="8">
        <f>IFERROR(__xludf.DUMMYFUNCTION("STDEV.S(FILTER(Table1[SR], (Table1[Depth Estimator]=A101)*(Table1[Camera Setting]=B101)*(Table1[Resolution]=C101)*(Table1[Input]=D101)))"),0.05)</f>
        <v>0.05</v>
      </c>
    </row>
    <row r="102" customHeight="1" spans="1:7">
      <c r="A102" s="6" t="s">
        <v>17</v>
      </c>
      <c r="B102" s="6" t="s">
        <v>10</v>
      </c>
      <c r="C102" s="6">
        <v>256</v>
      </c>
      <c r="D102" s="6" t="s">
        <v>12</v>
      </c>
      <c r="E102" s="7">
        <f>IFERROR(__xludf.DUMMYFUNCTION("AVERAGE(FILTER(Table1[SR], (Table1[Depth Estimator]=A102)*(Table1[Camera Setting]=B102)*(Table1[Resolution]=C102)*(Table1[Input]=D102)))"),0.1)</f>
        <v>0.1</v>
      </c>
      <c r="F102" s="8">
        <f>IFERROR(__xludf.DUMMYFUNCTION("STDEV.S(FILTER(Table1[SR], (Table1[Depth Estimator]=A102)*(Table1[Camera Setting]=B102)*(Table1[Resolution]=C102)*(Table1[Input]=D102)))"),0.141421356237309)</f>
        <v>0.141421356237309</v>
      </c>
    </row>
    <row r="103" customHeight="1" spans="1:7">
      <c r="A103" s="6" t="s">
        <v>17</v>
      </c>
      <c r="B103" s="6" t="s">
        <v>10</v>
      </c>
      <c r="C103" s="6">
        <v>256</v>
      </c>
      <c r="D103" s="6" t="s">
        <v>13</v>
      </c>
      <c r="E103" s="7">
        <f>IFERROR(__xludf.DUMMYFUNCTION("AVERAGE(FILTER(Table1[SR], (Table1[Depth Estimator]=A103)*(Table1[Camera Setting]=B103)*(Table1[Resolution]=C103)*(Table1[Input]=D103)))"),0.025)</f>
        <v>0.025</v>
      </c>
      <c r="F103" s="8">
        <f>IFERROR(__xludf.DUMMYFUNCTION("STDEV.S(FILTER(Table1[SR], (Table1[Depth Estimator]=A103)*(Table1[Camera Setting]=B103)*(Table1[Resolution]=C103)*(Table1[Input]=D103)))"),0.05)</f>
        <v>0.05</v>
      </c>
    </row>
    <row r="104" customHeight="1" spans="1:7">
      <c r="A104" s="6" t="s">
        <v>17</v>
      </c>
      <c r="B104" s="6" t="s">
        <v>10</v>
      </c>
      <c r="C104" s="6">
        <v>512</v>
      </c>
      <c r="D104" s="6" t="s">
        <v>12</v>
      </c>
      <c r="E104" s="7">
        <f>IFERROR(__xludf.DUMMYFUNCTION("AVERAGE(FILTER(Table1[SR], (Table1[Depth Estimator]=A104)*(Table1[Camera Setting]=B104)*(Table1[Resolution]=C104)*(Table1[Input]=D104)))"),0.1)</f>
        <v>0.1</v>
      </c>
      <c r="F104" s="8">
        <f>IFERROR(__xludf.DUMMYFUNCTION("STDEV.S(FILTER(Table1[SR], (Table1[Depth Estimator]=A104)*(Table1[Camera Setting]=B104)*(Table1[Resolution]=C104)*(Table1[Input]=D104)))"),0.115470053837925)</f>
        <v>0.115470053837925</v>
      </c>
    </row>
    <row r="105" customHeight="1" spans="1:7">
      <c r="A105" s="6" t="s">
        <v>17</v>
      </c>
      <c r="B105" s="6" t="s">
        <v>10</v>
      </c>
      <c r="C105" s="6">
        <v>512</v>
      </c>
      <c r="D105" s="6" t="s">
        <v>13</v>
      </c>
      <c r="E105" s="7">
        <f>IFERROR(__xludf.DUMMYFUNCTION("AVERAGE(FILTER(Table1[SR], (Table1[Depth Estimator]=A105)*(Table1[Camera Setting]=B105)*(Table1[Resolution]=C105)*(Table1[Input]=D105)))"),0)</f>
        <v>0</v>
      </c>
      <c r="F105" s="8">
        <f>IFERROR(__xludf.DUMMYFUNCTION("STDEV.S(FILTER(Table1[SR], (Table1[Depth Estimator]=A105)*(Table1[Camera Setting]=B105)*(Table1[Resolution]=C105)*(Table1[Input]=D105)))"),0)</f>
        <v>0</v>
      </c>
    </row>
    <row r="107" customHeight="1" spans="1:7">
      <c r="A107" s="6" t="s">
        <v>18</v>
      </c>
      <c r="B107" s="6" t="s">
        <v>7</v>
      </c>
      <c r="C107" s="6">
        <v>128</v>
      </c>
      <c r="D107" s="6" t="s">
        <v>12</v>
      </c>
      <c r="E107" s="7">
        <f>IFERROR(__xludf.DUMMYFUNCTION("AVERAGE(FILTER(Table1[SR], (Table1[Depth Estimator]=A107)*(Table1[Camera Setting]=B107)*(Table1[Resolution]=C107)*(Table1[Input]=D107)))"),0)</f>
        <v>0</v>
      </c>
      <c r="F107" s="8">
        <f>IFERROR(__xludf.DUMMYFUNCTION("STDEV.S(FILTER(Table1[SR], (Table1[Depth Estimator]=A107)*(Table1[Camera Setting]=B107)*(Table1[Resolution]=C107)*(Table1[Input]=D107)))"),0)</f>
        <v>0</v>
      </c>
      <c r="G107" s="9"/>
    </row>
    <row r="108" customHeight="1" spans="1:7">
      <c r="A108" s="6" t="s">
        <v>18</v>
      </c>
      <c r="B108" s="6" t="s">
        <v>7</v>
      </c>
      <c r="C108" s="6">
        <v>128</v>
      </c>
      <c r="D108" s="6" t="s">
        <v>13</v>
      </c>
      <c r="E108" s="7">
        <f>IFERROR(__xludf.DUMMYFUNCTION("AVERAGE(FILTER(Table1[SR], (Table1[Depth Estimator]=A108)*(Table1[Camera Setting]=B108)*(Table1[Resolution]=C108)*(Table1[Input]=D108)))"),0.25)</f>
        <v>0.25</v>
      </c>
      <c r="F108" s="8">
        <f>IFERROR(__xludf.DUMMYFUNCTION("STDEV.S(FILTER(Table1[SR], (Table1[Depth Estimator]=A108)*(Table1[Camera Setting]=B108)*(Table1[Resolution]=C108)*(Table1[Input]=D108)))"),0.3)</f>
        <v>0.3</v>
      </c>
    </row>
    <row r="109" customHeight="1" spans="1:7">
      <c r="A109" s="6" t="s">
        <v>18</v>
      </c>
      <c r="B109" s="6" t="s">
        <v>7</v>
      </c>
      <c r="C109" s="6">
        <v>256</v>
      </c>
      <c r="D109" s="6" t="s">
        <v>12</v>
      </c>
      <c r="E109" s="7">
        <f>IFERROR(__xludf.DUMMYFUNCTION("AVERAGE(FILTER(Table1[SR], (Table1[Depth Estimator]=A109)*(Table1[Camera Setting]=B109)*(Table1[Resolution]=C109)*(Table1[Input]=D109)))"),0)</f>
        <v>0</v>
      </c>
      <c r="F109" s="8">
        <f>IFERROR(__xludf.DUMMYFUNCTION("STDEV.S(FILTER(Table1[SR], (Table1[Depth Estimator]=A109)*(Table1[Camera Setting]=B109)*(Table1[Resolution]=C109)*(Table1[Input]=D109)))"),0)</f>
        <v>0</v>
      </c>
    </row>
    <row r="110" customHeight="1" spans="1:7">
      <c r="A110" s="6" t="s">
        <v>18</v>
      </c>
      <c r="B110" s="6" t="s">
        <v>7</v>
      </c>
      <c r="C110" s="6">
        <v>256</v>
      </c>
      <c r="D110" s="6" t="s">
        <v>13</v>
      </c>
      <c r="E110" s="7">
        <f>IFERROR(__xludf.DUMMYFUNCTION("AVERAGE(FILTER(Table1[SR], (Table1[Depth Estimator]=A110)*(Table1[Camera Setting]=B110)*(Table1[Resolution]=C110)*(Table1[Input]=D110)))"),0.15)</f>
        <v>0.15</v>
      </c>
      <c r="F110" s="8">
        <f>IFERROR(__xludf.DUMMYFUNCTION("STDEV.S(FILTER(Table1[SR], (Table1[Depth Estimator]=A110)*(Table1[Camera Setting]=B110)*(Table1[Resolution]=C110)*(Table1[Input]=D110)))"),0.238047614284761)</f>
        <v>0.238047614284761</v>
      </c>
    </row>
    <row r="111" customHeight="1" spans="1:7">
      <c r="A111" s="6" t="s">
        <v>18</v>
      </c>
      <c r="B111" s="6" t="s">
        <v>7</v>
      </c>
      <c r="C111" s="6">
        <v>512</v>
      </c>
      <c r="D111" s="6" t="s">
        <v>12</v>
      </c>
      <c r="E111" s="7">
        <f>IFERROR(__xludf.DUMMYFUNCTION("AVERAGE(FILTER(Table1[SR], (Table1[Depth Estimator]=A111)*(Table1[Camera Setting]=B111)*(Table1[Resolution]=C111)*(Table1[Input]=D111)))"),0)</f>
        <v>0</v>
      </c>
      <c r="F111" s="8">
        <f>IFERROR(__xludf.DUMMYFUNCTION("STDEV.S(FILTER(Table1[SR], (Table1[Depth Estimator]=A111)*(Table1[Camera Setting]=B111)*(Table1[Resolution]=C111)*(Table1[Input]=D111)))"),0)</f>
        <v>0</v>
      </c>
    </row>
    <row r="112" customHeight="1" spans="1:7">
      <c r="A112" s="6" t="s">
        <v>18</v>
      </c>
      <c r="B112" s="6" t="s">
        <v>7</v>
      </c>
      <c r="C112" s="6">
        <v>512</v>
      </c>
      <c r="D112" s="6" t="s">
        <v>13</v>
      </c>
      <c r="E112" s="7">
        <f>IFERROR(__xludf.DUMMYFUNCTION("AVERAGE(FILTER(Table1[SR], (Table1[Depth Estimator]=A112)*(Table1[Camera Setting]=B112)*(Table1[Resolution]=C112)*(Table1[Input]=D112)))"),0.3)</f>
        <v>0.3</v>
      </c>
      <c r="F112" s="8">
        <f>IFERROR(__xludf.DUMMYFUNCTION("STDEV.S(FILTER(Table1[SR], (Table1[Depth Estimator]=A112)*(Table1[Camera Setting]=B112)*(Table1[Resolution]=C112)*(Table1[Input]=D112)))"),0.316227766016837)</f>
        <v>0.316227766016837</v>
      </c>
    </row>
    <row r="113" customHeight="1" spans="1:6">
      <c r="A113" s="6" t="s">
        <v>18</v>
      </c>
      <c r="B113" s="6" t="s">
        <v>9</v>
      </c>
      <c r="C113" s="6">
        <v>128</v>
      </c>
      <c r="D113" s="6" t="s">
        <v>12</v>
      </c>
      <c r="E113" s="7">
        <f>IFERROR(__xludf.DUMMYFUNCTION("AVERAGE(FILTER(Table1[SR], (Table1[Depth Estimator]=A113)*(Table1[Camera Setting]=B113)*(Table1[Resolution]=C113)*(Table1[Input]=D113)))"),0.675)</f>
        <v>0.675</v>
      </c>
      <c r="F113" s="8">
        <f>IFERROR(__xludf.DUMMYFUNCTION("STDEV.S(FILTER(Table1[SR], (Table1[Depth Estimator]=A113)*(Table1[Camera Setting]=B113)*(Table1[Resolution]=C113)*(Table1[Input]=D113)))"),0.3947573094109)</f>
        <v>0.3947573094109</v>
      </c>
    </row>
    <row r="114" customHeight="1" spans="1:6">
      <c r="A114" s="6" t="s">
        <v>18</v>
      </c>
      <c r="B114" s="6" t="s">
        <v>9</v>
      </c>
      <c r="C114" s="6">
        <v>128</v>
      </c>
      <c r="D114" s="6" t="s">
        <v>13</v>
      </c>
      <c r="E114" s="7">
        <f>IFERROR(__xludf.DUMMYFUNCTION("AVERAGE(FILTER(Table1[SR], (Table1[Depth Estimator]=A114)*(Table1[Camera Setting]=B114)*(Table1[Resolution]=C114)*(Table1[Input]=D114)))"),0.825)</f>
        <v>0.825</v>
      </c>
      <c r="F114" s="8">
        <f>IFERROR(__xludf.DUMMYFUNCTION("STDEV.S(FILTER(Table1[SR], (Table1[Depth Estimator]=A114)*(Table1[Camera Setting]=B114)*(Table1[Resolution]=C114)*(Table1[Input]=D114)))"),0.0957427107756338)</f>
        <v>0.0957427107756338</v>
      </c>
    </row>
    <row r="115" customHeight="1" spans="1:6">
      <c r="A115" s="6" t="s">
        <v>18</v>
      </c>
      <c r="B115" s="6" t="s">
        <v>9</v>
      </c>
      <c r="C115" s="6">
        <v>256</v>
      </c>
      <c r="D115" s="6" t="s">
        <v>12</v>
      </c>
      <c r="E115" s="7">
        <f>IFERROR(__xludf.DUMMYFUNCTION("AVERAGE(FILTER(Table1[SR], (Table1[Depth Estimator]=A115)*(Table1[Camera Setting]=B115)*(Table1[Resolution]=C115)*(Table1[Input]=D115)))"),0.8)</f>
        <v>0.8</v>
      </c>
      <c r="F115" s="8">
        <f>IFERROR(__xludf.DUMMYFUNCTION("STDEV.S(FILTER(Table1[SR], (Table1[Depth Estimator]=A115)*(Table1[Camera Setting]=B115)*(Table1[Resolution]=C115)*(Table1[Input]=D115)))"),0.0816496580927726)</f>
        <v>0.0816496580927726</v>
      </c>
    </row>
    <row r="116" customHeight="1" spans="1:6">
      <c r="A116" s="6" t="s">
        <v>18</v>
      </c>
      <c r="B116" s="6" t="s">
        <v>9</v>
      </c>
      <c r="C116" s="6">
        <v>256</v>
      </c>
      <c r="D116" s="6" t="s">
        <v>13</v>
      </c>
      <c r="E116" s="7">
        <f>IFERROR(__xludf.DUMMYFUNCTION("AVERAGE(FILTER(Table1[SR], (Table1[Depth Estimator]=A116)*(Table1[Camera Setting]=B116)*(Table1[Resolution]=C116)*(Table1[Input]=D116)))"),0.85)</f>
        <v>0.85</v>
      </c>
      <c r="F116" s="8">
        <f>IFERROR(__xludf.DUMMYFUNCTION("STDEV.S(FILTER(Table1[SR], (Table1[Depth Estimator]=A116)*(Table1[Camera Setting]=B116)*(Table1[Resolution]=C116)*(Table1[Input]=D116)))"),0.0577350269189625)</f>
        <v>0.0577350269189625</v>
      </c>
    </row>
    <row r="117" customHeight="1" spans="1:6">
      <c r="A117" s="6" t="s">
        <v>18</v>
      </c>
      <c r="B117" s="6" t="s">
        <v>9</v>
      </c>
      <c r="C117" s="6">
        <v>512</v>
      </c>
      <c r="D117" s="6" t="s">
        <v>12</v>
      </c>
      <c r="E117" s="7">
        <f>IFERROR(__xludf.DUMMYFUNCTION("AVERAGE(FILTER(Table1[SR], (Table1[Depth Estimator]=A117)*(Table1[Camera Setting]=B117)*(Table1[Resolution]=C117)*(Table1[Input]=D117)))"),0.725)</f>
        <v>0.725</v>
      </c>
      <c r="F117" s="8">
        <f>IFERROR(__xludf.DUMMYFUNCTION("STDEV.S(FILTER(Table1[SR], (Table1[Depth Estimator]=A117)*(Table1[Camera Setting]=B117)*(Table1[Resolution]=C117)*(Table1[Input]=D117)))"),0.15)</f>
        <v>0.15</v>
      </c>
    </row>
    <row r="118" customHeight="1" spans="1:6">
      <c r="A118" s="6" t="s">
        <v>18</v>
      </c>
      <c r="B118" s="6" t="s">
        <v>9</v>
      </c>
      <c r="C118" s="6">
        <v>512</v>
      </c>
      <c r="D118" s="6" t="s">
        <v>13</v>
      </c>
      <c r="E118" s="7">
        <f>IFERROR(__xludf.DUMMYFUNCTION("AVERAGE(FILTER(Table1[SR], (Table1[Depth Estimator]=A118)*(Table1[Camera Setting]=B118)*(Table1[Resolution]=C118)*(Table1[Input]=D118)))"),0.85)</f>
        <v>0.85</v>
      </c>
      <c r="F118" s="8">
        <f>IFERROR(__xludf.DUMMYFUNCTION("STDEV.S(FILTER(Table1[SR], (Table1[Depth Estimator]=A118)*(Table1[Camera Setting]=B118)*(Table1[Resolution]=C118)*(Table1[Input]=D118)))"),0.173205080756887)</f>
        <v>0.173205080756887</v>
      </c>
    </row>
    <row r="119" customHeight="1" spans="1:6">
      <c r="A119" s="6" t="s">
        <v>18</v>
      </c>
      <c r="B119" s="6" t="s">
        <v>10</v>
      </c>
      <c r="C119" s="6">
        <v>128</v>
      </c>
      <c r="D119" s="6" t="s">
        <v>12</v>
      </c>
      <c r="E119" s="7">
        <f>IFERROR(__xludf.DUMMYFUNCTION("AVERAGE(FILTER(Table1[SR], (Table1[Depth Estimator]=A119)*(Table1[Camera Setting]=B119)*(Table1[Resolution]=C119)*(Table1[Input]=D119)))"),0.85)</f>
        <v>0.85</v>
      </c>
      <c r="F119" s="8">
        <f>IFERROR(__xludf.DUMMYFUNCTION("STDEV.S(FILTER(Table1[SR], (Table1[Depth Estimator]=A119)*(Table1[Camera Setting]=B119)*(Table1[Resolution]=C119)*(Table1[Input]=D119)))"),0.12909944487358)</f>
        <v>0.12909944487358</v>
      </c>
    </row>
    <row r="120" customHeight="1" spans="1:6">
      <c r="A120" s="6" t="s">
        <v>18</v>
      </c>
      <c r="B120" s="6" t="s">
        <v>10</v>
      </c>
      <c r="C120" s="6">
        <v>128</v>
      </c>
      <c r="D120" s="6" t="s">
        <v>13</v>
      </c>
      <c r="E120" s="7">
        <f>IFERROR(__xludf.DUMMYFUNCTION("AVERAGE(FILTER(Table1[SR], (Table1[Depth Estimator]=A120)*(Table1[Camera Setting]=B120)*(Table1[Resolution]=C120)*(Table1[Input]=D120)))"),0.8)</f>
        <v>0.8</v>
      </c>
      <c r="F120" s="8">
        <f>IFERROR(__xludf.DUMMYFUNCTION("STDEV.S(FILTER(Table1[SR], (Table1[Depth Estimator]=A120)*(Table1[Camera Setting]=B120)*(Table1[Resolution]=C120)*(Table1[Input]=D120)))"),0.141421356237309)</f>
        <v>0.141421356237309</v>
      </c>
    </row>
    <row r="121" customHeight="1" spans="1:6">
      <c r="A121" s="6" t="s">
        <v>18</v>
      </c>
      <c r="B121" s="6" t="s">
        <v>10</v>
      </c>
      <c r="C121" s="6">
        <v>256</v>
      </c>
      <c r="D121" s="6" t="s">
        <v>12</v>
      </c>
      <c r="E121" s="7">
        <f>IFERROR(__xludf.DUMMYFUNCTION("AVERAGE(FILTER(Table1[SR], (Table1[Depth Estimator]=A121)*(Table1[Camera Setting]=B121)*(Table1[Resolution]=C121)*(Table1[Input]=D121)))"),0.775)</f>
        <v>0.775</v>
      </c>
      <c r="F121" s="8">
        <f>IFERROR(__xludf.DUMMYFUNCTION("STDEV.S(FILTER(Table1[SR], (Table1[Depth Estimator]=A121)*(Table1[Camera Setting]=B121)*(Table1[Resolution]=C121)*(Table1[Input]=D121)))"),0.0957427107756338)</f>
        <v>0.0957427107756338</v>
      </c>
    </row>
    <row r="122" customHeight="1" spans="1:6">
      <c r="A122" s="6" t="s">
        <v>18</v>
      </c>
      <c r="B122" s="6" t="s">
        <v>10</v>
      </c>
      <c r="C122" s="6">
        <v>256</v>
      </c>
      <c r="D122" s="6" t="s">
        <v>13</v>
      </c>
      <c r="E122" s="7">
        <f>IFERROR(__xludf.DUMMYFUNCTION("AVERAGE(FILTER(Table1[SR], (Table1[Depth Estimator]=A122)*(Table1[Camera Setting]=B122)*(Table1[Resolution]=C122)*(Table1[Input]=D122)))"),0.799999999999999)</f>
        <v>0.799999999999999</v>
      </c>
      <c r="F122" s="8">
        <f>IFERROR(__xludf.DUMMYFUNCTION("STDEV.S(FILTER(Table1[SR], (Table1[Depth Estimator]=A122)*(Table1[Camera Setting]=B122)*(Table1[Resolution]=C122)*(Table1[Input]=D122)))"),0.336650164612069)</f>
        <v>0.336650164612069</v>
      </c>
    </row>
    <row r="123" customHeight="1" spans="1:6">
      <c r="A123" s="3" t="s">
        <v>18</v>
      </c>
      <c r="B123" s="3" t="s">
        <v>10</v>
      </c>
      <c r="C123" s="3">
        <v>512</v>
      </c>
      <c r="D123" s="3" t="s">
        <v>12</v>
      </c>
      <c r="E123" s="4">
        <f>IFERROR(__xludf.DUMMYFUNCTION("AVERAGE(FILTER(Table1[SR], (Table1[Depth Estimator]=A123)*(Table1[Camera Setting]=B123)*(Table1[Resolution]=C123)*(Table1[Input]=D123)))"),0.875)</f>
        <v>0.875</v>
      </c>
      <c r="F123" s="5">
        <f>IFERROR(__xludf.DUMMYFUNCTION("STDEV.S(FILTER(Table1[SR], (Table1[Depth Estimator]=A123)*(Table1[Camera Setting]=B123)*(Table1[Resolution]=C123)*(Table1[Input]=D123)))"),0.15)</f>
        <v>0.15</v>
      </c>
    </row>
    <row r="124" customHeight="1" spans="1:6">
      <c r="A124" s="6" t="s">
        <v>18</v>
      </c>
      <c r="B124" s="6" t="s">
        <v>10</v>
      </c>
      <c r="C124" s="6">
        <v>512</v>
      </c>
      <c r="D124" s="6" t="s">
        <v>13</v>
      </c>
      <c r="E124" s="7">
        <f>IFERROR(__xludf.DUMMYFUNCTION("AVERAGE(FILTER(Table1[SR], (Table1[Depth Estimator]=A124)*(Table1[Camera Setting]=B124)*(Table1[Resolution]=C124)*(Table1[Input]=D124)))"),0.799999999999999)</f>
        <v>0.799999999999999</v>
      </c>
      <c r="F124" s="8">
        <f>IFERROR(__xludf.DUMMYFUNCTION("STDEV.S(FILTER(Table1[SR], (Table1[Depth Estimator]=A124)*(Table1[Camera Setting]=B124)*(Table1[Resolution]=C124)*(Table1[Input]=D124)))"),0.336650164612069)</f>
        <v>0.336650164612069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yifei</cp:lastModifiedBy>
  <dcterms:created xsi:type="dcterms:W3CDTF">2026-03-29T21:20:00Z</dcterms:created>
  <dcterms:modified xsi:type="dcterms:W3CDTF">2026-08-07T14:49:27Z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600DED62DBAC1222A813C66966F3050E_42</vt:lpwstr>
  </property>
  <property fmtid="{D5CDD505-2E9C-101B-9397-08002B2CF9AE}" pid="3" name="KSOProductBuildVer">
    <vt:lpwstr>2052-12.1.2.25838</vt:lpwstr>
  </property>
  <property fmtid="{D5CDD505-2E9C-101B-9397-08002B2CF9AE}" pid="4" name="CalculationRule">
    <vt:i4>0</vt:i4>
  </property>
</Properties>
</file>